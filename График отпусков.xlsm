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Aleksei\Desktop\Программирование\Excel VBA\Проекты с работы\"/>
    </mc:Choice>
  </mc:AlternateContent>
  <xr:revisionPtr revIDLastSave="0" documentId="13_ncr:1_{A3CC097C-875A-40DE-BEFA-771E3C19A22C}" xr6:coauthVersionLast="37" xr6:coauthVersionMax="37" xr10:uidLastSave="{00000000-0000-0000-0000-000000000000}"/>
  <bookViews>
    <workbookView xWindow="0" yWindow="0" windowWidth="20490" windowHeight="7245" tabRatio="599" xr2:uid="{00000000-000D-0000-FFFF-FFFF00000000}"/>
  </bookViews>
  <sheets>
    <sheet name="График" sheetId="1" r:id="rId1"/>
    <sheet name="Диаграммы" sheetId="4" r:id="rId2"/>
    <sheet name="График_сжато" sheetId="6" state="hidden" r:id="rId3"/>
    <sheet name="Справочник" sheetId="3" state="hidden" r:id="rId4"/>
  </sheets>
  <definedNames>
    <definedName name="_xlnm._FilterDatabase" localSheetId="0" hidden="1">График!$A$7:$W$23</definedName>
    <definedName name="Срез_Отдел">#N/A</definedName>
    <definedName name="Срез_Отдел2">#N/A</definedName>
    <definedName name="Срез_ФИО">#N/A</definedName>
  </definedNames>
  <calcPr calcId="179021"/>
  <pivotCaches>
    <pivotCache cacheId="0" r:id="rId5"/>
    <pivotCache cacheId="1" r:id="rId6"/>
  </pivotCaches>
  <extLst>
    <ext xmlns:x14="http://schemas.microsoft.com/office/spreadsheetml/2009/9/main" uri="{876F7934-8845-4945-9796-88D515C7AA90}">
      <x14:pivotCaches>
        <pivotCache cacheId="2" r:id="rId7"/>
        <pivotCache cacheId="3" r:id="rId8"/>
      </x14:pivotCaches>
    </ex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4" r:id="rId12"/>
        <pivotCache cacheId="5" r:id="rId13"/>
      </x15:pivotCaches>
    </ext>
    <ext xmlns:x15="http://schemas.microsoft.com/office/spreadsheetml/2010/11/main" uri="{983426D0-5260-488c-9760-48F4B6AC55F4}">
      <x15:pivotTableReferences>
        <x15:pivotTableReference r:id="rId14"/>
        <x15:pivotTableReference r:id="rId15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исходная_7726d624-1d8c-44d0-be78-607e5066c30e" name="исходная" connection="Запрос — исходная"/>
          <x15:modelTable id="уникальные_cd86ff3b-5d3e-4163-aa63-5e3196b09de9" name="уникальные" connection="Запрос — уникальные"/>
          <x15:modelTable id="исходная_полная_46dc1bb2-2c08-4342-acb6-4dfcb5517f57" name="исходная_полная" connection="Запрос — исходная_полная"/>
          <x15:modelTable id="исходная_полная  2_c9d9dbf4-be98-48b0-bbab-19177f4b5da8" name="исходная_полная  2" connection="Запрос — исходная_полная (2)"/>
          <x15:modelTable id="выходные_ab6399f1-b316-4b12-90d8-a08e99d96783" name="выходные" connection="Запрос — выходные"/>
          <x15:modelTable id="исходная_даты_4cd8662d-9574-443e-ad7b-503d9ebe99ad" name="исходная_даты" connection="Запрос — исходная_даты"/>
        </x15:modelTables>
        <x15:modelRelationships>
          <x15:modelRelationship fromTable="исходная_полная" fromColumn="Отдел" toTable="уникальные" toColumn="Отдел"/>
          <x15:modelRelationship fromTable="исходная_полная" fromColumn="дата" toTable="выходные" toColumn="Дата"/>
          <x15:modelRelationship fromTable="исходная_полная  2" fromColumn="дата" toTable="выходные" toColumn="Дата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исходная_полная" columnName="дата" columnId="дата">
                <x16:calculatedTimeColumn columnName="дата (Индекс месяца)" columnId="дата (Индекс месяца)" contentType="monthsindex" isSelected="1"/>
                <x16:calculatedTimeColumn columnName="дата (Месяц)" columnId="дата (Месяц)" contentType="months" isSelected="1"/>
              </x16:modelTimeGrouping>
              <x16:modelTimeGrouping tableName="исходная_полная  2" columnName="дата" columnId="дата">
                <x16:calculatedTimeColumn columnName="дата (Индекс месяца)" columnId="дата (Индекс месяца)" contentType="monthsindex" isSelected="1"/>
                <x16:calculatedTimeColumn columnName="дата (Месяц)" columnId="дата (Месяц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K23" i="1" l="1"/>
  <c r="NY23" i="1"/>
  <c r="OC23" i="1"/>
  <c r="OD23" i="1"/>
  <c r="OE23" i="1"/>
  <c r="K22" i="1"/>
  <c r="NY22" i="1"/>
  <c r="OC22" i="1"/>
  <c r="OD22" i="1"/>
  <c r="OE22" i="1"/>
  <c r="OE8" i="1" l="1"/>
  <c r="OE9" i="1"/>
  <c r="OE10" i="1"/>
  <c r="OE11" i="1"/>
  <c r="OE12" i="1"/>
  <c r="OE13" i="1"/>
  <c r="OE14" i="1"/>
  <c r="OE15" i="1"/>
  <c r="OE16" i="1"/>
  <c r="OE17" i="1"/>
  <c r="OE18" i="1"/>
  <c r="OE19" i="1"/>
  <c r="OE20" i="1"/>
  <c r="OE21" i="1"/>
  <c r="OD8" i="1"/>
  <c r="OD9" i="1"/>
  <c r="OD10" i="1"/>
  <c r="OD11" i="1"/>
  <c r="OD12" i="1"/>
  <c r="OD13" i="1"/>
  <c r="OD14" i="1"/>
  <c r="OD15" i="1"/>
  <c r="OD16" i="1"/>
  <c r="OD17" i="1"/>
  <c r="OD18" i="1"/>
  <c r="OD19" i="1"/>
  <c r="OD20" i="1"/>
  <c r="OD21" i="1"/>
  <c r="OC8" i="1"/>
  <c r="OC9" i="1"/>
  <c r="OC10" i="1"/>
  <c r="OC11" i="1"/>
  <c r="OC12" i="1"/>
  <c r="OC13" i="1"/>
  <c r="OC14" i="1"/>
  <c r="OC15" i="1"/>
  <c r="OC16" i="1"/>
  <c r="OC17" i="1"/>
  <c r="OC18" i="1"/>
  <c r="OC19" i="1"/>
  <c r="OC20" i="1"/>
  <c r="OC21" i="1"/>
  <c r="K21" i="1"/>
  <c r="NY21" i="1"/>
  <c r="K20" i="1" l="1"/>
  <c r="NY20" i="1"/>
  <c r="K19" i="1" l="1"/>
  <c r="NY19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FF4" i="1"/>
  <c r="FG4" i="1"/>
  <c r="FH4" i="1"/>
  <c r="FI4" i="1"/>
  <c r="FJ4" i="1"/>
  <c r="FK4" i="1"/>
  <c r="FL4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GD4" i="1"/>
  <c r="GE4" i="1"/>
  <c r="GF4" i="1"/>
  <c r="GG4" i="1"/>
  <c r="GH4" i="1"/>
  <c r="GI4" i="1"/>
  <c r="GJ4" i="1"/>
  <c r="GK4" i="1"/>
  <c r="GL4" i="1"/>
  <c r="GM4" i="1"/>
  <c r="GN4" i="1"/>
  <c r="GO4" i="1"/>
  <c r="GP4" i="1"/>
  <c r="GQ4" i="1"/>
  <c r="GR4" i="1"/>
  <c r="GS4" i="1"/>
  <c r="GT4" i="1"/>
  <c r="GU4" i="1"/>
  <c r="GV4" i="1"/>
  <c r="GW4" i="1"/>
  <c r="GX4" i="1"/>
  <c r="GY4" i="1"/>
  <c r="GZ4" i="1"/>
  <c r="HA4" i="1"/>
  <c r="HB4" i="1"/>
  <c r="HC4" i="1"/>
  <c r="HD4" i="1"/>
  <c r="HE4" i="1"/>
  <c r="HF4" i="1"/>
  <c r="HG4" i="1"/>
  <c r="HH4" i="1"/>
  <c r="HI4" i="1"/>
  <c r="HJ4" i="1"/>
  <c r="HK4" i="1"/>
  <c r="HL4" i="1"/>
  <c r="HM4" i="1"/>
  <c r="HN4" i="1"/>
  <c r="HO4" i="1"/>
  <c r="HP4" i="1"/>
  <c r="HQ4" i="1"/>
  <c r="HR4" i="1"/>
  <c r="HS4" i="1"/>
  <c r="HT4" i="1"/>
  <c r="HU4" i="1"/>
  <c r="HV4" i="1"/>
  <c r="HW4" i="1"/>
  <c r="HX4" i="1"/>
  <c r="HY4" i="1"/>
  <c r="HZ4" i="1"/>
  <c r="IA4" i="1"/>
  <c r="IB4" i="1"/>
  <c r="IC4" i="1"/>
  <c r="ID4" i="1"/>
  <c r="IE4" i="1"/>
  <c r="IF4" i="1"/>
  <c r="IG4" i="1"/>
  <c r="IH4" i="1"/>
  <c r="II4" i="1"/>
  <c r="IJ4" i="1"/>
  <c r="IK4" i="1"/>
  <c r="IL4" i="1"/>
  <c r="IM4" i="1"/>
  <c r="IN4" i="1"/>
  <c r="IO4" i="1"/>
  <c r="IP4" i="1"/>
  <c r="IQ4" i="1"/>
  <c r="IR4" i="1"/>
  <c r="IS4" i="1"/>
  <c r="IT4" i="1"/>
  <c r="IU4" i="1"/>
  <c r="IV4" i="1"/>
  <c r="IW4" i="1"/>
  <c r="IX4" i="1"/>
  <c r="IY4" i="1"/>
  <c r="IZ4" i="1"/>
  <c r="JA4" i="1"/>
  <c r="JB4" i="1"/>
  <c r="JC4" i="1"/>
  <c r="JD4" i="1"/>
  <c r="JE4" i="1"/>
  <c r="JF4" i="1"/>
  <c r="JG4" i="1"/>
  <c r="JH4" i="1"/>
  <c r="JI4" i="1"/>
  <c r="JJ4" i="1"/>
  <c r="JK4" i="1"/>
  <c r="JL4" i="1"/>
  <c r="JM4" i="1"/>
  <c r="JN4" i="1"/>
  <c r="JO4" i="1"/>
  <c r="JP4" i="1"/>
  <c r="JQ4" i="1"/>
  <c r="JR4" i="1"/>
  <c r="JS4" i="1"/>
  <c r="JT4" i="1"/>
  <c r="JU4" i="1"/>
  <c r="JV4" i="1"/>
  <c r="JW4" i="1"/>
  <c r="JX4" i="1"/>
  <c r="JY4" i="1"/>
  <c r="JZ4" i="1"/>
  <c r="KA4" i="1"/>
  <c r="KB4" i="1"/>
  <c r="KC4" i="1"/>
  <c r="KD4" i="1"/>
  <c r="KE4" i="1"/>
  <c r="KF4" i="1"/>
  <c r="KG4" i="1"/>
  <c r="KH4" i="1"/>
  <c r="KI4" i="1"/>
  <c r="KJ4" i="1"/>
  <c r="KK4" i="1"/>
  <c r="KL4" i="1"/>
  <c r="KM4" i="1"/>
  <c r="KN4" i="1"/>
  <c r="KO4" i="1"/>
  <c r="KP4" i="1"/>
  <c r="KQ4" i="1"/>
  <c r="KR4" i="1"/>
  <c r="KS4" i="1"/>
  <c r="KT4" i="1"/>
  <c r="KU4" i="1"/>
  <c r="KV4" i="1"/>
  <c r="KW4" i="1"/>
  <c r="KX4" i="1"/>
  <c r="KY4" i="1"/>
  <c r="KZ4" i="1"/>
  <c r="LA4" i="1"/>
  <c r="LB4" i="1"/>
  <c r="LC4" i="1"/>
  <c r="LD4" i="1"/>
  <c r="LE4" i="1"/>
  <c r="LF4" i="1"/>
  <c r="LG4" i="1"/>
  <c r="LH4" i="1"/>
  <c r="LI4" i="1"/>
  <c r="LJ4" i="1"/>
  <c r="LK4" i="1"/>
  <c r="LL4" i="1"/>
  <c r="LM4" i="1"/>
  <c r="LN4" i="1"/>
  <c r="LO4" i="1"/>
  <c r="LP4" i="1"/>
  <c r="LQ4" i="1"/>
  <c r="LR4" i="1"/>
  <c r="LS4" i="1"/>
  <c r="LT4" i="1"/>
  <c r="LU4" i="1"/>
  <c r="LV4" i="1"/>
  <c r="LW4" i="1"/>
  <c r="LX4" i="1"/>
  <c r="LY4" i="1"/>
  <c r="LZ4" i="1"/>
  <c r="MA4" i="1"/>
  <c r="MB4" i="1"/>
  <c r="MC4" i="1"/>
  <c r="MD4" i="1"/>
  <c r="ME4" i="1"/>
  <c r="MF4" i="1"/>
  <c r="MG4" i="1"/>
  <c r="MH4" i="1"/>
  <c r="MI4" i="1"/>
  <c r="MJ4" i="1"/>
  <c r="MK4" i="1"/>
  <c r="ML4" i="1"/>
  <c r="MM4" i="1"/>
  <c r="MN4" i="1"/>
  <c r="MO4" i="1"/>
  <c r="MP4" i="1"/>
  <c r="MQ4" i="1"/>
  <c r="MR4" i="1"/>
  <c r="MS4" i="1"/>
  <c r="MT4" i="1"/>
  <c r="MU4" i="1"/>
  <c r="MV4" i="1"/>
  <c r="MW4" i="1"/>
  <c r="MX4" i="1"/>
  <c r="MY4" i="1"/>
  <c r="MZ4" i="1"/>
  <c r="NA4" i="1"/>
  <c r="NB4" i="1"/>
  <c r="NC4" i="1"/>
  <c r="ND4" i="1"/>
  <c r="NE4" i="1"/>
  <c r="NF4" i="1"/>
  <c r="NG4" i="1"/>
  <c r="NH4" i="1"/>
  <c r="NI4" i="1"/>
  <c r="NJ4" i="1"/>
  <c r="NK4" i="1"/>
  <c r="NL4" i="1"/>
  <c r="NM4" i="1"/>
  <c r="NN4" i="1"/>
  <c r="NO4" i="1"/>
  <c r="NP4" i="1"/>
  <c r="NQ4" i="1"/>
  <c r="NR4" i="1"/>
  <c r="NS4" i="1"/>
  <c r="NT4" i="1"/>
  <c r="NU4" i="1"/>
  <c r="NV4" i="1"/>
  <c r="NW4" i="1"/>
  <c r="NX4" i="1"/>
  <c r="DJ4" i="1"/>
  <c r="DK4" i="1"/>
  <c r="DL4" i="1"/>
  <c r="DM4" i="1"/>
  <c r="DN4" i="1"/>
  <c r="DO4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  <c r="IW6" i="1"/>
  <c r="IX6" i="1"/>
  <c r="IY6" i="1"/>
  <c r="IZ6" i="1"/>
  <c r="JA6" i="1"/>
  <c r="JB6" i="1"/>
  <c r="JC6" i="1"/>
  <c r="JD6" i="1"/>
  <c r="JE6" i="1"/>
  <c r="JF6" i="1"/>
  <c r="JG6" i="1"/>
  <c r="JH6" i="1"/>
  <c r="JI6" i="1"/>
  <c r="JJ6" i="1"/>
  <c r="JK6" i="1"/>
  <c r="JL6" i="1"/>
  <c r="JM6" i="1"/>
  <c r="JN6" i="1"/>
  <c r="JO6" i="1"/>
  <c r="JP6" i="1"/>
  <c r="JQ6" i="1"/>
  <c r="JR6" i="1"/>
  <c r="JS6" i="1"/>
  <c r="JT6" i="1"/>
  <c r="JU6" i="1"/>
  <c r="JV6" i="1"/>
  <c r="JW6" i="1"/>
  <c r="JX6" i="1"/>
  <c r="JY6" i="1"/>
  <c r="JZ6" i="1"/>
  <c r="KA6" i="1"/>
  <c r="KB6" i="1"/>
  <c r="KC6" i="1"/>
  <c r="KD6" i="1"/>
  <c r="KE6" i="1"/>
  <c r="KF6" i="1"/>
  <c r="KG6" i="1"/>
  <c r="KH6" i="1"/>
  <c r="KI6" i="1"/>
  <c r="KJ6" i="1"/>
  <c r="KK6" i="1"/>
  <c r="KL6" i="1"/>
  <c r="KM6" i="1"/>
  <c r="KN6" i="1"/>
  <c r="KO6" i="1"/>
  <c r="KP6" i="1"/>
  <c r="KQ6" i="1"/>
  <c r="KR6" i="1"/>
  <c r="KS6" i="1"/>
  <c r="KT6" i="1"/>
  <c r="KU6" i="1"/>
  <c r="KV6" i="1"/>
  <c r="KW6" i="1"/>
  <c r="KX6" i="1"/>
  <c r="KY6" i="1"/>
  <c r="KZ6" i="1"/>
  <c r="LA6" i="1"/>
  <c r="LB6" i="1"/>
  <c r="LC6" i="1"/>
  <c r="LD6" i="1"/>
  <c r="LE6" i="1"/>
  <c r="LF6" i="1"/>
  <c r="LG6" i="1"/>
  <c r="LH6" i="1"/>
  <c r="LI6" i="1"/>
  <c r="LJ6" i="1"/>
  <c r="LK6" i="1"/>
  <c r="LL6" i="1"/>
  <c r="LM6" i="1"/>
  <c r="LN6" i="1"/>
  <c r="LO6" i="1"/>
  <c r="LP6" i="1"/>
  <c r="LQ6" i="1"/>
  <c r="LR6" i="1"/>
  <c r="LS6" i="1"/>
  <c r="LT6" i="1"/>
  <c r="LU6" i="1"/>
  <c r="LV6" i="1"/>
  <c r="LW6" i="1"/>
  <c r="LX6" i="1"/>
  <c r="LY6" i="1"/>
  <c r="LZ6" i="1"/>
  <c r="MA6" i="1"/>
  <c r="MB6" i="1"/>
  <c r="MC6" i="1"/>
  <c r="MD6" i="1"/>
  <c r="ME6" i="1"/>
  <c r="MF6" i="1"/>
  <c r="MG6" i="1"/>
  <c r="MH6" i="1"/>
  <c r="MI6" i="1"/>
  <c r="MJ6" i="1"/>
  <c r="MK6" i="1"/>
  <c r="ML6" i="1"/>
  <c r="MM6" i="1"/>
  <c r="MN6" i="1"/>
  <c r="MO6" i="1"/>
  <c r="MP6" i="1"/>
  <c r="MQ6" i="1"/>
  <c r="MR6" i="1"/>
  <c r="MS6" i="1"/>
  <c r="MT6" i="1"/>
  <c r="MU6" i="1"/>
  <c r="MV6" i="1"/>
  <c r="MW6" i="1"/>
  <c r="MX6" i="1"/>
  <c r="MY6" i="1"/>
  <c r="MZ6" i="1"/>
  <c r="NA6" i="1"/>
  <c r="NB6" i="1"/>
  <c r="NC6" i="1"/>
  <c r="ND6" i="1"/>
  <c r="NE6" i="1"/>
  <c r="NF6" i="1"/>
  <c r="NG6" i="1"/>
  <c r="NH6" i="1"/>
  <c r="NI6" i="1"/>
  <c r="NJ6" i="1"/>
  <c r="NK6" i="1"/>
  <c r="NL6" i="1"/>
  <c r="NM6" i="1"/>
  <c r="NN6" i="1"/>
  <c r="NO6" i="1"/>
  <c r="NP6" i="1"/>
  <c r="NQ6" i="1"/>
  <c r="NR6" i="1"/>
  <c r="NS6" i="1"/>
  <c r="NT6" i="1"/>
  <c r="NU6" i="1"/>
  <c r="NV6" i="1"/>
  <c r="NW6" i="1"/>
  <c r="NX6" i="1"/>
  <c r="DJ6" i="1"/>
  <c r="DK6" i="1"/>
  <c r="DL6" i="1"/>
  <c r="DM6" i="1"/>
  <c r="DN6" i="1"/>
  <c r="DO6" i="1"/>
  <c r="DP6" i="1"/>
  <c r="K16" i="1"/>
  <c r="K17" i="1"/>
  <c r="K18" i="1"/>
  <c r="NY16" i="1"/>
  <c r="NY17" i="1"/>
  <c r="NY18" i="1"/>
  <c r="K14" i="1"/>
  <c r="K15" i="1"/>
  <c r="NY14" i="1"/>
  <c r="NY15" i="1"/>
  <c r="FS3" i="1" l="1"/>
  <c r="Q4" i="1" s="1"/>
  <c r="DJ3" i="1"/>
  <c r="O4" i="1" s="1"/>
  <c r="KK3" i="1"/>
  <c r="U4" i="1" s="1"/>
  <c r="JG3" i="1"/>
  <c r="T4" i="1" s="1"/>
  <c r="MT3" i="1"/>
  <c r="W4" i="1" s="1"/>
  <c r="LP3" i="1"/>
  <c r="V4" i="1" s="1"/>
  <c r="IB3" i="1"/>
  <c r="S4" i="1" s="1"/>
  <c r="GW3" i="1"/>
  <c r="R4" i="1" s="1"/>
  <c r="EN3" i="1"/>
  <c r="P4" i="1" s="1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J3" i="3"/>
  <c r="DK3" i="3"/>
  <c r="DL3" i="3"/>
  <c r="DM3" i="3"/>
  <c r="DN3" i="3"/>
  <c r="DO3" i="3"/>
  <c r="DP3" i="3"/>
  <c r="DQ3" i="3"/>
  <c r="DR3" i="3"/>
  <c r="DS3" i="3"/>
  <c r="DT3" i="3"/>
  <c r="DU3" i="3"/>
  <c r="DV3" i="3"/>
  <c r="DW3" i="3"/>
  <c r="DX3" i="3"/>
  <c r="DY3" i="3"/>
  <c r="DZ3" i="3"/>
  <c r="EA3" i="3"/>
  <c r="EB3" i="3"/>
  <c r="EC3" i="3"/>
  <c r="ED3" i="3"/>
  <c r="EE3" i="3"/>
  <c r="EF3" i="3"/>
  <c r="EG3" i="3"/>
  <c r="EH3" i="3"/>
  <c r="EI3" i="3"/>
  <c r="EJ3" i="3"/>
  <c r="EK3" i="3"/>
  <c r="EL3" i="3"/>
  <c r="EM3" i="3"/>
  <c r="EN3" i="3"/>
  <c r="EO3" i="3"/>
  <c r="EP3" i="3"/>
  <c r="EQ3" i="3"/>
  <c r="ER3" i="3"/>
  <c r="ES3" i="3"/>
  <c r="ET3" i="3"/>
  <c r="EU3" i="3"/>
  <c r="EV3" i="3"/>
  <c r="EW3" i="3"/>
  <c r="EX3" i="3"/>
  <c r="EY3" i="3"/>
  <c r="EZ3" i="3"/>
  <c r="FA3" i="3"/>
  <c r="FB3" i="3"/>
  <c r="FC3" i="3"/>
  <c r="FD3" i="3"/>
  <c r="FE3" i="3"/>
  <c r="FF3" i="3"/>
  <c r="FG3" i="3"/>
  <c r="FH3" i="3"/>
  <c r="FI3" i="3"/>
  <c r="FJ3" i="3"/>
  <c r="FK3" i="3"/>
  <c r="FL3" i="3"/>
  <c r="FM3" i="3"/>
  <c r="FN3" i="3"/>
  <c r="FO3" i="3"/>
  <c r="FP3" i="3"/>
  <c r="FQ3" i="3"/>
  <c r="FR3" i="3"/>
  <c r="FS3" i="3"/>
  <c r="FT3" i="3"/>
  <c r="FU3" i="3"/>
  <c r="FV3" i="3"/>
  <c r="FW3" i="3"/>
  <c r="FX3" i="3"/>
  <c r="FY3" i="3"/>
  <c r="FZ3" i="3"/>
  <c r="GA3" i="3"/>
  <c r="GB3" i="3"/>
  <c r="GC3" i="3"/>
  <c r="GD3" i="3"/>
  <c r="GE3" i="3"/>
  <c r="GF3" i="3"/>
  <c r="GG3" i="3"/>
  <c r="GH3" i="3"/>
  <c r="GI3" i="3"/>
  <c r="GJ3" i="3"/>
  <c r="GK3" i="3"/>
  <c r="GL3" i="3"/>
  <c r="GM3" i="3"/>
  <c r="GN3" i="3"/>
  <c r="GO3" i="3"/>
  <c r="GP3" i="3"/>
  <c r="GQ3" i="3"/>
  <c r="GR3" i="3"/>
  <c r="GS3" i="3"/>
  <c r="GT3" i="3"/>
  <c r="GU3" i="3"/>
  <c r="GV3" i="3"/>
  <c r="GW3" i="3"/>
  <c r="GX3" i="3"/>
  <c r="GY3" i="3"/>
  <c r="GZ3" i="3"/>
  <c r="HA3" i="3"/>
  <c r="HB3" i="3"/>
  <c r="HC3" i="3"/>
  <c r="HD3" i="3"/>
  <c r="HE3" i="3"/>
  <c r="HF3" i="3"/>
  <c r="HG3" i="3"/>
  <c r="HH3" i="3"/>
  <c r="HI3" i="3"/>
  <c r="HJ3" i="3"/>
  <c r="HK3" i="3"/>
  <c r="HL3" i="3"/>
  <c r="HM3" i="3"/>
  <c r="HN3" i="3"/>
  <c r="HO3" i="3"/>
  <c r="HP3" i="3"/>
  <c r="HQ3" i="3"/>
  <c r="HR3" i="3"/>
  <c r="HS3" i="3"/>
  <c r="HT3" i="3"/>
  <c r="HU3" i="3"/>
  <c r="HV3" i="3"/>
  <c r="HW3" i="3"/>
  <c r="HX3" i="3"/>
  <c r="HY3" i="3"/>
  <c r="HZ3" i="3"/>
  <c r="IA3" i="3"/>
  <c r="IB3" i="3"/>
  <c r="IC3" i="3"/>
  <c r="ID3" i="3"/>
  <c r="IE3" i="3"/>
  <c r="IF3" i="3"/>
  <c r="IG3" i="3"/>
  <c r="IH3" i="3"/>
  <c r="II3" i="3"/>
  <c r="IJ3" i="3"/>
  <c r="IK3" i="3"/>
  <c r="IL3" i="3"/>
  <c r="IM3" i="3"/>
  <c r="IN3" i="3"/>
  <c r="IO3" i="3"/>
  <c r="IP3" i="3"/>
  <c r="IQ3" i="3"/>
  <c r="IR3" i="3"/>
  <c r="IS3" i="3"/>
  <c r="IT3" i="3"/>
  <c r="IU3" i="3"/>
  <c r="IV3" i="3"/>
  <c r="IW3" i="3"/>
  <c r="IX3" i="3"/>
  <c r="IY3" i="3"/>
  <c r="IZ3" i="3"/>
  <c r="JA3" i="3"/>
  <c r="JB3" i="3"/>
  <c r="JC3" i="3"/>
  <c r="JD3" i="3"/>
  <c r="JE3" i="3"/>
  <c r="JF3" i="3"/>
  <c r="JG3" i="3"/>
  <c r="JH3" i="3"/>
  <c r="JI3" i="3"/>
  <c r="JJ3" i="3"/>
  <c r="JK3" i="3"/>
  <c r="JL3" i="3"/>
  <c r="JM3" i="3"/>
  <c r="JN3" i="3"/>
  <c r="JO3" i="3"/>
  <c r="JP3" i="3"/>
  <c r="JQ3" i="3"/>
  <c r="JR3" i="3"/>
  <c r="JS3" i="3"/>
  <c r="JT3" i="3"/>
  <c r="JU3" i="3"/>
  <c r="JV3" i="3"/>
  <c r="JW3" i="3"/>
  <c r="JX3" i="3"/>
  <c r="JY3" i="3"/>
  <c r="JZ3" i="3"/>
  <c r="KA3" i="3"/>
  <c r="KB3" i="3"/>
  <c r="KC3" i="3"/>
  <c r="KD3" i="3"/>
  <c r="KE3" i="3"/>
  <c r="KF3" i="3"/>
  <c r="KG3" i="3"/>
  <c r="KH3" i="3"/>
  <c r="KI3" i="3"/>
  <c r="KJ3" i="3"/>
  <c r="KK3" i="3"/>
  <c r="KL3" i="3"/>
  <c r="KM3" i="3"/>
  <c r="KN3" i="3"/>
  <c r="KO3" i="3"/>
  <c r="KP3" i="3"/>
  <c r="KQ3" i="3"/>
  <c r="KR3" i="3"/>
  <c r="KS3" i="3"/>
  <c r="KT3" i="3"/>
  <c r="KU3" i="3"/>
  <c r="KV3" i="3"/>
  <c r="KW3" i="3"/>
  <c r="KX3" i="3"/>
  <c r="KY3" i="3"/>
  <c r="KZ3" i="3"/>
  <c r="LA3" i="3"/>
  <c r="LB3" i="3"/>
  <c r="LC3" i="3"/>
  <c r="LD3" i="3"/>
  <c r="LE3" i="3"/>
  <c r="LF3" i="3"/>
  <c r="LG3" i="3"/>
  <c r="LH3" i="3"/>
  <c r="LI3" i="3"/>
  <c r="LJ3" i="3"/>
  <c r="LK3" i="3"/>
  <c r="LL3" i="3"/>
  <c r="LM3" i="3"/>
  <c r="LN3" i="3"/>
  <c r="LO3" i="3"/>
  <c r="LP3" i="3"/>
  <c r="LQ3" i="3"/>
  <c r="LR3" i="3"/>
  <c r="LS3" i="3"/>
  <c r="LT3" i="3"/>
  <c r="LU3" i="3"/>
  <c r="LV3" i="3"/>
  <c r="LW3" i="3"/>
  <c r="LX3" i="3"/>
  <c r="LY3" i="3"/>
  <c r="LZ3" i="3"/>
  <c r="MA3" i="3"/>
  <c r="MB3" i="3"/>
  <c r="MC3" i="3"/>
  <c r="MD3" i="3"/>
  <c r="ME3" i="3"/>
  <c r="MF3" i="3"/>
  <c r="MG3" i="3"/>
  <c r="MH3" i="3"/>
  <c r="MI3" i="3"/>
  <c r="MJ3" i="3"/>
  <c r="MK3" i="3"/>
  <c r="ML3" i="3"/>
  <c r="MM3" i="3"/>
  <c r="MN3" i="3"/>
  <c r="MO3" i="3"/>
  <c r="MP3" i="3"/>
  <c r="MQ3" i="3"/>
  <c r="MR3" i="3"/>
  <c r="MS3" i="3"/>
  <c r="MT3" i="3"/>
  <c r="MU3" i="3"/>
  <c r="MV3" i="3"/>
  <c r="MW3" i="3"/>
  <c r="MX3" i="3"/>
  <c r="MY3" i="3"/>
  <c r="MZ3" i="3"/>
  <c r="NA3" i="3"/>
  <c r="NB3" i="3"/>
  <c r="B3" i="3"/>
  <c r="CE4" i="1" l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X4" i="1"/>
  <c r="NY9" i="1" l="1"/>
  <c r="NY10" i="1"/>
  <c r="NY11" i="1"/>
  <c r="NY12" i="1"/>
  <c r="NY13" i="1"/>
  <c r="NY8" i="1"/>
  <c r="K13" i="1" l="1"/>
  <c r="K12" i="1" l="1"/>
  <c r="CF6" i="1" l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X6" i="1"/>
  <c r="K9" i="1"/>
  <c r="K10" i="1"/>
  <c r="K11" i="1"/>
  <c r="K8" i="1"/>
  <c r="M23" i="1" l="1"/>
  <c r="T23" i="1"/>
  <c r="P23" i="1"/>
  <c r="L23" i="1"/>
  <c r="U23" i="1"/>
  <c r="Q23" i="1"/>
  <c r="V23" i="1"/>
  <c r="R23" i="1"/>
  <c r="N23" i="1"/>
  <c r="W23" i="1"/>
  <c r="S23" i="1"/>
  <c r="O23" i="1"/>
  <c r="M22" i="1"/>
  <c r="T22" i="1"/>
  <c r="P22" i="1"/>
  <c r="L22" i="1"/>
  <c r="U22" i="1"/>
  <c r="Q22" i="1"/>
  <c r="V22" i="1"/>
  <c r="R22" i="1"/>
  <c r="N22" i="1"/>
  <c r="W22" i="1"/>
  <c r="S22" i="1"/>
  <c r="O22" i="1"/>
  <c r="M21" i="1"/>
  <c r="T21" i="1"/>
  <c r="P21" i="1"/>
  <c r="L21" i="1"/>
  <c r="U21" i="1"/>
  <c r="Q21" i="1"/>
  <c r="V21" i="1"/>
  <c r="R21" i="1"/>
  <c r="N21" i="1"/>
  <c r="W21" i="1"/>
  <c r="S21" i="1"/>
  <c r="O21" i="1"/>
  <c r="M20" i="1"/>
  <c r="T20" i="1"/>
  <c r="P20" i="1"/>
  <c r="L20" i="1"/>
  <c r="U20" i="1"/>
  <c r="Q20" i="1"/>
  <c r="V20" i="1"/>
  <c r="R20" i="1"/>
  <c r="N20" i="1"/>
  <c r="W20" i="1"/>
  <c r="S20" i="1"/>
  <c r="O20" i="1"/>
  <c r="L19" i="1"/>
  <c r="L17" i="1"/>
  <c r="Q19" i="1"/>
  <c r="W19" i="1"/>
  <c r="O19" i="1"/>
  <c r="T19" i="1"/>
  <c r="P19" i="1"/>
  <c r="S17" i="1"/>
  <c r="O17" i="1"/>
  <c r="Q17" i="1"/>
  <c r="U14" i="1"/>
  <c r="S14" i="1"/>
  <c r="N15" i="1"/>
  <c r="R15" i="1"/>
  <c r="V15" i="1"/>
  <c r="Q15" i="1"/>
  <c r="O15" i="1"/>
  <c r="W15" i="1"/>
  <c r="N18" i="1"/>
  <c r="R18" i="1"/>
  <c r="V18" i="1"/>
  <c r="O18" i="1"/>
  <c r="W18" i="1"/>
  <c r="U18" i="1"/>
  <c r="N16" i="1"/>
  <c r="R16" i="1"/>
  <c r="V16" i="1"/>
  <c r="O16" i="1"/>
  <c r="W16" i="1"/>
  <c r="U16" i="1"/>
  <c r="Q14" i="1"/>
  <c r="M14" i="1"/>
  <c r="T17" i="1"/>
  <c r="P17" i="1"/>
  <c r="V14" i="1"/>
  <c r="R14" i="1"/>
  <c r="N14" i="1"/>
  <c r="L14" i="1"/>
  <c r="U19" i="1"/>
  <c r="M19" i="1"/>
  <c r="S19" i="1"/>
  <c r="V19" i="1"/>
  <c r="R19" i="1"/>
  <c r="N19" i="1"/>
  <c r="W17" i="1"/>
  <c r="U17" i="1"/>
  <c r="M17" i="1"/>
  <c r="W14" i="1"/>
  <c r="L15" i="1"/>
  <c r="P15" i="1"/>
  <c r="T15" i="1"/>
  <c r="M15" i="1"/>
  <c r="U15" i="1"/>
  <c r="S15" i="1"/>
  <c r="L18" i="1"/>
  <c r="P18" i="1"/>
  <c r="T18" i="1"/>
  <c r="M18" i="1"/>
  <c r="S18" i="1"/>
  <c r="Q18" i="1"/>
  <c r="L16" i="1"/>
  <c r="P16" i="1"/>
  <c r="T16" i="1"/>
  <c r="M16" i="1"/>
  <c r="S16" i="1"/>
  <c r="Q16" i="1"/>
  <c r="O14" i="1"/>
  <c r="V17" i="1"/>
  <c r="R17" i="1"/>
  <c r="N17" i="1"/>
  <c r="T14" i="1"/>
  <c r="P14" i="1"/>
  <c r="M8" i="1"/>
  <c r="Q8" i="1"/>
  <c r="U8" i="1"/>
  <c r="R8" i="1"/>
  <c r="N8" i="1"/>
  <c r="T8" i="1"/>
  <c r="L12" i="1"/>
  <c r="P12" i="1"/>
  <c r="T12" i="1"/>
  <c r="M12" i="1"/>
  <c r="Q12" i="1"/>
  <c r="U12" i="1"/>
  <c r="L10" i="1"/>
  <c r="P10" i="1"/>
  <c r="T10" i="1"/>
  <c r="M10" i="1"/>
  <c r="Q10" i="1"/>
  <c r="U10" i="1"/>
  <c r="L13" i="1"/>
  <c r="P13" i="1"/>
  <c r="T13" i="1"/>
  <c r="M13" i="1"/>
  <c r="Q13" i="1"/>
  <c r="U13" i="1"/>
  <c r="L11" i="1"/>
  <c r="P11" i="1"/>
  <c r="T11" i="1"/>
  <c r="M11" i="1"/>
  <c r="Q11" i="1"/>
  <c r="U11" i="1"/>
  <c r="L9" i="1"/>
  <c r="P9" i="1"/>
  <c r="T9" i="1"/>
  <c r="M9" i="1"/>
  <c r="Q9" i="1"/>
  <c r="U9" i="1"/>
  <c r="O8" i="1"/>
  <c r="S8" i="1"/>
  <c r="W8" i="1"/>
  <c r="V8" i="1"/>
  <c r="P8" i="1"/>
  <c r="L8" i="1"/>
  <c r="N12" i="1"/>
  <c r="R12" i="1"/>
  <c r="V12" i="1"/>
  <c r="O12" i="1"/>
  <c r="S12" i="1"/>
  <c r="W12" i="1"/>
  <c r="N10" i="1"/>
  <c r="R10" i="1"/>
  <c r="V10" i="1"/>
  <c r="O10" i="1"/>
  <c r="S10" i="1"/>
  <c r="W10" i="1"/>
  <c r="N13" i="1"/>
  <c r="R13" i="1"/>
  <c r="V13" i="1"/>
  <c r="O13" i="1"/>
  <c r="S13" i="1"/>
  <c r="W13" i="1"/>
  <c r="N11" i="1"/>
  <c r="R11" i="1"/>
  <c r="V11" i="1"/>
  <c r="O11" i="1"/>
  <c r="S11" i="1"/>
  <c r="W11" i="1"/>
  <c r="N9" i="1"/>
  <c r="R9" i="1"/>
  <c r="V9" i="1"/>
  <c r="O9" i="1"/>
  <c r="S9" i="1"/>
  <c r="W9" i="1"/>
  <c r="CE3" i="1"/>
  <c r="N4" i="1" s="1"/>
  <c r="BC3" i="1"/>
  <c r="M4" i="1" s="1"/>
  <c r="X3" i="1"/>
  <c r="L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Запрос — выходные" description="Соединение с запросом &quot;выходные&quot; в книге." type="100" refreshedVersion="6" minRefreshableVersion="5">
    <extLst>
      <ext xmlns:x15="http://schemas.microsoft.com/office/spreadsheetml/2010/11/main" uri="{DE250136-89BD-433C-8126-D09CA5730AF9}">
        <x15:connection id="b6680e0d-de2f-4407-ade8-bf070c318bf9"/>
      </ext>
    </extLst>
  </connection>
  <connection id="3" xr16:uid="{00000000-0015-0000-FFFF-FFFF02000000}" name="Запрос — исходная" description="Соединение с запросом &quot;исходная&quot; в книге." type="100" refreshedVersion="6" minRefreshableVersion="5">
    <extLst>
      <ext xmlns:x15="http://schemas.microsoft.com/office/spreadsheetml/2010/11/main" uri="{DE250136-89BD-433C-8126-D09CA5730AF9}">
        <x15:connection id="31b09659-592c-40c8-adec-fcb7b6d82758"/>
      </ext>
    </extLst>
  </connection>
  <connection id="4" xr16:uid="{00000000-0015-0000-FFFF-FFFF03000000}" name="Запрос — исходная_даты" description="Соединение с запросом &quot;исходная_даты&quot; в книге." type="100" refreshedVersion="6" minRefreshableVersion="5">
    <extLst>
      <ext xmlns:x15="http://schemas.microsoft.com/office/spreadsheetml/2010/11/main" uri="{DE250136-89BD-433C-8126-D09CA5730AF9}">
        <x15:connection id="f0cdfc48-9660-43c9-a9e4-c22866b024fe"/>
      </ext>
    </extLst>
  </connection>
  <connection id="5" xr16:uid="{00000000-0015-0000-FFFF-FFFF04000000}" name="Запрос — исходная_полная" description="Соединение с запросом &quot;исходная_полная&quot; в книге." type="100" refreshedVersion="6" minRefreshableVersion="5">
    <extLst>
      <ext xmlns:x15="http://schemas.microsoft.com/office/spreadsheetml/2010/11/main" uri="{DE250136-89BD-433C-8126-D09CA5730AF9}">
        <x15:connection id="27e70c4d-4277-409e-84ca-0a62fad30562"/>
      </ext>
    </extLst>
  </connection>
  <connection id="6" xr16:uid="{00000000-0015-0000-FFFF-FFFF05000000}" name="Запрос — исходная_полная (2)" description="Соединение с запросом &quot;исходная_полная (2)&quot; в книге." type="100" refreshedVersion="6" minRefreshableVersion="5">
    <extLst>
      <ext xmlns:x15="http://schemas.microsoft.com/office/spreadsheetml/2010/11/main" uri="{DE250136-89BD-433C-8126-D09CA5730AF9}">
        <x15:connection id="582b9081-e278-4bff-b822-c4425c27ec45"/>
      </ext>
    </extLst>
  </connection>
  <connection id="7" xr16:uid="{00000000-0015-0000-FFFF-FFFF06000000}" name="Запрос — уникальные" description="Соединение с запросом &quot;уникальные&quot; в книге." type="100" refreshedVersion="6" minRefreshableVersion="5">
    <extLst>
      <ext xmlns:x15="http://schemas.microsoft.com/office/spreadsheetml/2010/11/main" uri="{DE250136-89BD-433C-8126-D09CA5730AF9}">
        <x15:connection id="a196fc0c-c2f6-4e76-8abb-9b721bf3db50"/>
      </ext>
    </extLst>
  </connection>
</connections>
</file>

<file path=xl/sharedStrings.xml><?xml version="1.0" encoding="utf-8"?>
<sst xmlns="http://schemas.openxmlformats.org/spreadsheetml/2006/main" count="919" uniqueCount="824">
  <si>
    <t>янв</t>
  </si>
  <si>
    <t>фев</t>
  </si>
  <si>
    <t>1-й период</t>
  </si>
  <si>
    <t>2-й период</t>
  </si>
  <si>
    <t>3-й период</t>
  </si>
  <si>
    <t>праздничные дни</t>
  </si>
  <si>
    <t>Должность</t>
  </si>
  <si>
    <t>ФИО</t>
  </si>
  <si>
    <t>Отдел</t>
  </si>
  <si>
    <t>№</t>
  </si>
  <si>
    <t>менеджер</t>
  </si>
  <si>
    <t>специалист</t>
  </si>
  <si>
    <t>март</t>
  </si>
  <si>
    <t>Итого дней</t>
  </si>
  <si>
    <t>Среднемесячный % явки</t>
  </si>
  <si>
    <t>Мин. % ср.явки, план</t>
  </si>
  <si>
    <t>ПДО</t>
  </si>
  <si>
    <t>дата нач.2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</si>
  <si>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</si>
  <si>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</si>
  <si>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</si>
  <si>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</si>
  <si>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</si>
  <si>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</si>
  <si>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</si>
  <si>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</si>
  <si>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</si>
  <si>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</si>
  <si>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01.янв</t>
  </si>
  <si>
    <t>02.янв</t>
  </si>
  <si>
    <t>03.янв</t>
  </si>
  <si>
    <t>04.янв</t>
  </si>
  <si>
    <t>05.янв</t>
  </si>
  <si>
    <t>06.янв</t>
  </si>
  <si>
    <t>07.янв</t>
  </si>
  <si>
    <t>08.янв</t>
  </si>
  <si>
    <t>09.янв</t>
  </si>
  <si>
    <t>10.янв</t>
  </si>
  <si>
    <t>11.янв</t>
  </si>
  <si>
    <t>12.янв</t>
  </si>
  <si>
    <t>13.янв</t>
  </si>
  <si>
    <t>14.янв</t>
  </si>
  <si>
    <t>15.янв</t>
  </si>
  <si>
    <t>16.янв</t>
  </si>
  <si>
    <t>17.янв</t>
  </si>
  <si>
    <t>18.янв</t>
  </si>
  <si>
    <t>19.янв</t>
  </si>
  <si>
    <t>20.янв</t>
  </si>
  <si>
    <t>21.янв</t>
  </si>
  <si>
    <t>22.янв</t>
  </si>
  <si>
    <t>23.янв</t>
  </si>
  <si>
    <t>24.янв</t>
  </si>
  <si>
    <t>25.янв</t>
  </si>
  <si>
    <t>26.янв</t>
  </si>
  <si>
    <t>27.янв</t>
  </si>
  <si>
    <t>28.янв</t>
  </si>
  <si>
    <t>29.янв</t>
  </si>
  <si>
    <t>30.янв</t>
  </si>
  <si>
    <t>31.янв</t>
  </si>
  <si>
    <t>01.фев</t>
  </si>
  <si>
    <t>02.фев</t>
  </si>
  <si>
    <t>03.фев</t>
  </si>
  <si>
    <t>04.фев</t>
  </si>
  <si>
    <t>05.фев</t>
  </si>
  <si>
    <t>06.фев</t>
  </si>
  <si>
    <t>07.фев</t>
  </si>
  <si>
    <t>08.фев</t>
  </si>
  <si>
    <t>09.фев</t>
  </si>
  <si>
    <t>10.фев</t>
  </si>
  <si>
    <t>11.фев</t>
  </si>
  <si>
    <t>12.фев</t>
  </si>
  <si>
    <t>13.фев</t>
  </si>
  <si>
    <t>14.фев</t>
  </si>
  <si>
    <t>15.фев</t>
  </si>
  <si>
    <t>16.фев</t>
  </si>
  <si>
    <t>17.фев</t>
  </si>
  <si>
    <t>18.фев</t>
  </si>
  <si>
    <t>19.фев</t>
  </si>
  <si>
    <t>20.фев</t>
  </si>
  <si>
    <t>21.фев</t>
  </si>
  <si>
    <t>22.фев</t>
  </si>
  <si>
    <t>23.фев</t>
  </si>
  <si>
    <t>24.фев</t>
  </si>
  <si>
    <t>25.фев</t>
  </si>
  <si>
    <t>26.фев</t>
  </si>
  <si>
    <t>27.фев</t>
  </si>
  <si>
    <t>28.фев</t>
  </si>
  <si>
    <t>01.мар</t>
  </si>
  <si>
    <t>02.мар</t>
  </si>
  <si>
    <t>03.мар</t>
  </si>
  <si>
    <t>04.мар</t>
  </si>
  <si>
    <t>05.мар</t>
  </si>
  <si>
    <t>06.мар</t>
  </si>
  <si>
    <t>07.мар</t>
  </si>
  <si>
    <t>08.мар</t>
  </si>
  <si>
    <t>09.мар</t>
  </si>
  <si>
    <t>10.мар</t>
  </si>
  <si>
    <t>11.мар</t>
  </si>
  <si>
    <t>12.мар</t>
  </si>
  <si>
    <t>13.мар</t>
  </si>
  <si>
    <t>14.мар</t>
  </si>
  <si>
    <t>15.мар</t>
  </si>
  <si>
    <t>16.мар</t>
  </si>
  <si>
    <t>17.мар</t>
  </si>
  <si>
    <t>18.мар</t>
  </si>
  <si>
    <t>19.мар</t>
  </si>
  <si>
    <t>20.мар</t>
  </si>
  <si>
    <t>21.мар</t>
  </si>
  <si>
    <t>22.мар</t>
  </si>
  <si>
    <t>23.мар</t>
  </si>
  <si>
    <t>24.мар</t>
  </si>
  <si>
    <t>25.мар</t>
  </si>
  <si>
    <t>26.мар</t>
  </si>
  <si>
    <t>27.мар</t>
  </si>
  <si>
    <t>28.мар</t>
  </si>
  <si>
    <t>29.мар</t>
  </si>
  <si>
    <t>30.мар</t>
  </si>
  <si>
    <t>31.мар</t>
  </si>
  <si>
    <t>01.апр</t>
  </si>
  <si>
    <t>02.апр</t>
  </si>
  <si>
    <t>03.апр</t>
  </si>
  <si>
    <t>04.апр</t>
  </si>
  <si>
    <t>05.апр</t>
  </si>
  <si>
    <t>06.апр</t>
  </si>
  <si>
    <t>07.апр</t>
  </si>
  <si>
    <t>08.апр</t>
  </si>
  <si>
    <t>09.апр</t>
  </si>
  <si>
    <t>10.апр</t>
  </si>
  <si>
    <t>11.апр</t>
  </si>
  <si>
    <t>12.апр</t>
  </si>
  <si>
    <t>13.апр</t>
  </si>
  <si>
    <t>14.апр</t>
  </si>
  <si>
    <t>15.апр</t>
  </si>
  <si>
    <t>16.апр</t>
  </si>
  <si>
    <t>17.апр</t>
  </si>
  <si>
    <t>18.апр</t>
  </si>
  <si>
    <t>19.апр</t>
  </si>
  <si>
    <t>20.апр</t>
  </si>
  <si>
    <t>21.апр</t>
  </si>
  <si>
    <t>22.апр</t>
  </si>
  <si>
    <t>23.апр</t>
  </si>
  <si>
    <t>24.апр</t>
  </si>
  <si>
    <t>25.апр</t>
  </si>
  <si>
    <t>26.апр</t>
  </si>
  <si>
    <t>27.апр</t>
  </si>
  <si>
    <t>28.апр</t>
  </si>
  <si>
    <t>29.апр</t>
  </si>
  <si>
    <t>30.апр</t>
  </si>
  <si>
    <t>01.май</t>
  </si>
  <si>
    <t>02.май</t>
  </si>
  <si>
    <t>03.май</t>
  </si>
  <si>
    <t>04.май</t>
  </si>
  <si>
    <t>05.май</t>
  </si>
  <si>
    <t>06.май</t>
  </si>
  <si>
    <t>07.май</t>
  </si>
  <si>
    <t>08.май</t>
  </si>
  <si>
    <t>09.май</t>
  </si>
  <si>
    <t>10.май</t>
  </si>
  <si>
    <t>11.май</t>
  </si>
  <si>
    <t>12.май</t>
  </si>
  <si>
    <t>13.май</t>
  </si>
  <si>
    <t>14.май</t>
  </si>
  <si>
    <t>15.май</t>
  </si>
  <si>
    <t>16.май</t>
  </si>
  <si>
    <t>17.май</t>
  </si>
  <si>
    <t>18.май</t>
  </si>
  <si>
    <t>19.май</t>
  </si>
  <si>
    <t>20.май</t>
  </si>
  <si>
    <t>21.май</t>
  </si>
  <si>
    <t>22.май</t>
  </si>
  <si>
    <t>23.май</t>
  </si>
  <si>
    <t>24.май</t>
  </si>
  <si>
    <t>25.май</t>
  </si>
  <si>
    <t>26.май</t>
  </si>
  <si>
    <t>27.май</t>
  </si>
  <si>
    <t>28.май</t>
  </si>
  <si>
    <t>29.май</t>
  </si>
  <si>
    <t>30.май</t>
  </si>
  <si>
    <t>31.май</t>
  </si>
  <si>
    <t>01.июн</t>
  </si>
  <si>
    <t>02.июн</t>
  </si>
  <si>
    <t>03.июн</t>
  </si>
  <si>
    <t>04.июн</t>
  </si>
  <si>
    <t>05.июн</t>
  </si>
  <si>
    <t>06.июн</t>
  </si>
  <si>
    <t>07.июн</t>
  </si>
  <si>
    <t>08.июн</t>
  </si>
  <si>
    <t>09.июн</t>
  </si>
  <si>
    <t>10.июн</t>
  </si>
  <si>
    <t>11.июн</t>
  </si>
  <si>
    <t>12.июн</t>
  </si>
  <si>
    <t>13.июн</t>
  </si>
  <si>
    <t>14.июн</t>
  </si>
  <si>
    <t>15.июн</t>
  </si>
  <si>
    <t>16.июн</t>
  </si>
  <si>
    <t>17.июн</t>
  </si>
  <si>
    <t>18.июн</t>
  </si>
  <si>
    <t>19.июн</t>
  </si>
  <si>
    <t>20.июн</t>
  </si>
  <si>
    <t>21.июн</t>
  </si>
  <si>
    <t>22.июн</t>
  </si>
  <si>
    <t>23.июн</t>
  </si>
  <si>
    <t>24.июн</t>
  </si>
  <si>
    <t>25.июн</t>
  </si>
  <si>
    <t>26.июн</t>
  </si>
  <si>
    <t>27.июн</t>
  </si>
  <si>
    <t>28.июн</t>
  </si>
  <si>
    <t>29.июн</t>
  </si>
  <si>
    <t>30.июн</t>
  </si>
  <si>
    <t>01.июл</t>
  </si>
  <si>
    <t>02.июл</t>
  </si>
  <si>
    <t>03.июл</t>
  </si>
  <si>
    <t>04.июл</t>
  </si>
  <si>
    <t>05.июл</t>
  </si>
  <si>
    <t>06.июл</t>
  </si>
  <si>
    <t>07.июл</t>
  </si>
  <si>
    <t>08.июл</t>
  </si>
  <si>
    <t>09.июл</t>
  </si>
  <si>
    <t>10.июл</t>
  </si>
  <si>
    <t>11.июл</t>
  </si>
  <si>
    <t>12.июл</t>
  </si>
  <si>
    <t>13.июл</t>
  </si>
  <si>
    <t>14.июл</t>
  </si>
  <si>
    <t>15.июл</t>
  </si>
  <si>
    <t>16.июл</t>
  </si>
  <si>
    <t>17.июл</t>
  </si>
  <si>
    <t>18.июл</t>
  </si>
  <si>
    <t>19.июл</t>
  </si>
  <si>
    <t>20.июл</t>
  </si>
  <si>
    <t>21.июл</t>
  </si>
  <si>
    <t>22.июл</t>
  </si>
  <si>
    <t>23.июл</t>
  </si>
  <si>
    <t>24.июл</t>
  </si>
  <si>
    <t>25.июл</t>
  </si>
  <si>
    <t>26.июл</t>
  </si>
  <si>
    <t>27.июл</t>
  </si>
  <si>
    <t>28.июл</t>
  </si>
  <si>
    <t>29.июл</t>
  </si>
  <si>
    <t>30.июл</t>
  </si>
  <si>
    <t>31.июл</t>
  </si>
  <si>
    <t>01.авг</t>
  </si>
  <si>
    <t>02.авг</t>
  </si>
  <si>
    <t>03.авг</t>
  </si>
  <si>
    <t>04.авг</t>
  </si>
  <si>
    <t>05.авг</t>
  </si>
  <si>
    <t>06.авг</t>
  </si>
  <si>
    <t>07.авг</t>
  </si>
  <si>
    <t>08.авг</t>
  </si>
  <si>
    <t>09.авг</t>
  </si>
  <si>
    <t>10.авг</t>
  </si>
  <si>
    <t>11.авг</t>
  </si>
  <si>
    <t>12.авг</t>
  </si>
  <si>
    <t>13.авг</t>
  </si>
  <si>
    <t>14.авг</t>
  </si>
  <si>
    <t>15.авг</t>
  </si>
  <si>
    <t>16.авг</t>
  </si>
  <si>
    <t>17.авг</t>
  </si>
  <si>
    <t>18.авг</t>
  </si>
  <si>
    <t>19.авг</t>
  </si>
  <si>
    <t>20.авг</t>
  </si>
  <si>
    <t>21.авг</t>
  </si>
  <si>
    <t>22.авг</t>
  </si>
  <si>
    <t>23.авг</t>
  </si>
  <si>
    <t>24.авг</t>
  </si>
  <si>
    <t>25.авг</t>
  </si>
  <si>
    <t>26.авг</t>
  </si>
  <si>
    <t>27.авг</t>
  </si>
  <si>
    <t>28.авг</t>
  </si>
  <si>
    <t>29.авг</t>
  </si>
  <si>
    <t>30.авг</t>
  </si>
  <si>
    <t>31.авг</t>
  </si>
  <si>
    <t>01.сен</t>
  </si>
  <si>
    <t>02.сен</t>
  </si>
  <si>
    <t>03.сен</t>
  </si>
  <si>
    <t>04.сен</t>
  </si>
  <si>
    <t>05.сен</t>
  </si>
  <si>
    <t>06.сен</t>
  </si>
  <si>
    <t>07.сен</t>
  </si>
  <si>
    <t>08.сен</t>
  </si>
  <si>
    <t>09.сен</t>
  </si>
  <si>
    <t>10.сен</t>
  </si>
  <si>
    <t>11.сен</t>
  </si>
  <si>
    <t>12.сен</t>
  </si>
  <si>
    <t>13.сен</t>
  </si>
  <si>
    <t>14.сен</t>
  </si>
  <si>
    <t>15.сен</t>
  </si>
  <si>
    <t>16.сен</t>
  </si>
  <si>
    <t>17.сен</t>
  </si>
  <si>
    <t>18.сен</t>
  </si>
  <si>
    <t>19.сен</t>
  </si>
  <si>
    <t>20.сен</t>
  </si>
  <si>
    <t>21.сен</t>
  </si>
  <si>
    <t>22.сен</t>
  </si>
  <si>
    <t>23.сен</t>
  </si>
  <si>
    <t>24.сен</t>
  </si>
  <si>
    <t>25.сен</t>
  </si>
  <si>
    <t>26.сен</t>
  </si>
  <si>
    <t>27.сен</t>
  </si>
  <si>
    <t>28.сен</t>
  </si>
  <si>
    <t>29.сен</t>
  </si>
  <si>
    <t>30.сен</t>
  </si>
  <si>
    <t>01.окт</t>
  </si>
  <si>
    <t>02.окт</t>
  </si>
  <si>
    <t>03.окт</t>
  </si>
  <si>
    <t>04.окт</t>
  </si>
  <si>
    <t>05.окт</t>
  </si>
  <si>
    <t>06.окт</t>
  </si>
  <si>
    <t>07.окт</t>
  </si>
  <si>
    <t>08.окт</t>
  </si>
  <si>
    <t>09.окт</t>
  </si>
  <si>
    <t>10.окт</t>
  </si>
  <si>
    <t>11.окт</t>
  </si>
  <si>
    <t>12.окт</t>
  </si>
  <si>
    <t>13.окт</t>
  </si>
  <si>
    <t>14.окт</t>
  </si>
  <si>
    <t>15.окт</t>
  </si>
  <si>
    <t>16.окт</t>
  </si>
  <si>
    <t>17.окт</t>
  </si>
  <si>
    <t>18.окт</t>
  </si>
  <si>
    <t>19.окт</t>
  </si>
  <si>
    <t>20.окт</t>
  </si>
  <si>
    <t>21.окт</t>
  </si>
  <si>
    <t>22.окт</t>
  </si>
  <si>
    <t>23.окт</t>
  </si>
  <si>
    <t>24.окт</t>
  </si>
  <si>
    <t>25.окт</t>
  </si>
  <si>
    <t>26.окт</t>
  </si>
  <si>
    <t>27.окт</t>
  </si>
  <si>
    <t>28.окт</t>
  </si>
  <si>
    <t>29.окт</t>
  </si>
  <si>
    <t>30.окт</t>
  </si>
  <si>
    <t>31.окт</t>
  </si>
  <si>
    <t>01.ноя</t>
  </si>
  <si>
    <t>02.ноя</t>
  </si>
  <si>
    <t>03.ноя</t>
  </si>
  <si>
    <t>04.ноя</t>
  </si>
  <si>
    <t>05.ноя</t>
  </si>
  <si>
    <t>06.ноя</t>
  </si>
  <si>
    <t>07.ноя</t>
  </si>
  <si>
    <t>08.ноя</t>
  </si>
  <si>
    <t>09.ноя</t>
  </si>
  <si>
    <t>10.ноя</t>
  </si>
  <si>
    <t>11.ноя</t>
  </si>
  <si>
    <t>12.ноя</t>
  </si>
  <si>
    <t>13.ноя</t>
  </si>
  <si>
    <t>14.ноя</t>
  </si>
  <si>
    <t>15.ноя</t>
  </si>
  <si>
    <t>16.ноя</t>
  </si>
  <si>
    <t>17.ноя</t>
  </si>
  <si>
    <t>18.ноя</t>
  </si>
  <si>
    <t>19.ноя</t>
  </si>
  <si>
    <t>20.ноя</t>
  </si>
  <si>
    <t>21.ноя</t>
  </si>
  <si>
    <t>22.ноя</t>
  </si>
  <si>
    <t>23.ноя</t>
  </si>
  <si>
    <t>24.ноя</t>
  </si>
  <si>
    <t>25.ноя</t>
  </si>
  <si>
    <t>26.ноя</t>
  </si>
  <si>
    <t>27.ноя</t>
  </si>
  <si>
    <t>28.ноя</t>
  </si>
  <si>
    <t>29.ноя</t>
  </si>
  <si>
    <t>30.ноя</t>
  </si>
  <si>
    <t>01.дек</t>
  </si>
  <si>
    <t>02.дек</t>
  </si>
  <si>
    <t>03.дек</t>
  </si>
  <si>
    <t>04.дек</t>
  </si>
  <si>
    <t>05.дек</t>
  </si>
  <si>
    <t>06.дек</t>
  </si>
  <si>
    <t>07.дек</t>
  </si>
  <si>
    <t>08.дек</t>
  </si>
  <si>
    <t>09.дек</t>
  </si>
  <si>
    <t>10.дек</t>
  </si>
  <si>
    <t>11.дек</t>
  </si>
  <si>
    <t>12.дек</t>
  </si>
  <si>
    <t>13.дек</t>
  </si>
  <si>
    <t>14.дек</t>
  </si>
  <si>
    <t>15.дек</t>
  </si>
  <si>
    <t>16.дек</t>
  </si>
  <si>
    <t>17.дек</t>
  </si>
  <si>
    <t>18.дек</t>
  </si>
  <si>
    <t>19.дек</t>
  </si>
  <si>
    <t>20.дек</t>
  </si>
  <si>
    <t>21.дек</t>
  </si>
  <si>
    <t>22.дек</t>
  </si>
  <si>
    <t>23.дек</t>
  </si>
  <si>
    <t>24.дек</t>
  </si>
  <si>
    <t>25.дек</t>
  </si>
  <si>
    <t>26.дек</t>
  </si>
  <si>
    <t>27.дек</t>
  </si>
  <si>
    <t>28.дек</t>
  </si>
  <si>
    <t>29.дек</t>
  </si>
  <si>
    <t>30.дек</t>
  </si>
  <si>
    <t>31.дек</t>
  </si>
  <si>
    <t>Столбец1</t>
  </si>
  <si>
    <t>кол-во
дней 2</t>
  </si>
  <si>
    <t>дата нач.3</t>
  </si>
  <si>
    <t>кол-во
дней 3</t>
  </si>
  <si>
    <t>дата нач.1</t>
  </si>
  <si>
    <t>кол-во
дней 1</t>
  </si>
  <si>
    <t>Дата</t>
  </si>
  <si>
    <t>выходной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</si>
  <si>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</si>
  <si>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</si>
  <si>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</si>
  <si>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</si>
  <si>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</si>
  <si>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</si>
  <si>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</si>
  <si>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</si>
  <si>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</si>
  <si>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</si>
  <si>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</si>
  <si>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</si>
  <si>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</si>
  <si>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</si>
  <si>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</si>
  <si>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</si>
  <si>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</si>
  <si>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</si>
  <si>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</si>
  <si>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</si>
  <si>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</si>
  <si>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Столбец23</t>
  </si>
  <si>
    <t>Столбец24</t>
  </si>
  <si>
    <t>Столбец25</t>
  </si>
  <si>
    <t>Столбец26</t>
  </si>
  <si>
    <t>Столбец27</t>
  </si>
  <si>
    <t>Столбец28</t>
  </si>
  <si>
    <t>Столбец29</t>
  </si>
  <si>
    <t>Столбец30</t>
  </si>
  <si>
    <t>Столбец31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</si>
  <si>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</si>
  <si>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</si>
  <si>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</si>
  <si>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</si>
  <si>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</si>
  <si>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</si>
  <si>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Столбец38</t>
  </si>
  <si>
    <t>Столбец39</t>
  </si>
  <si>
    <t>Столбец40</t>
  </si>
  <si>
    <t>Столбец41</t>
  </si>
  <si>
    <t>Столбец42</t>
  </si>
  <si>
    <t>Столбец43</t>
  </si>
  <si>
    <t>Столбец44</t>
  </si>
  <si>
    <t>Столбец45</t>
  </si>
  <si>
    <t>Столбец46</t>
  </si>
  <si>
    <t>Столбец47</t>
  </si>
  <si>
    <t>Столбец48</t>
  </si>
  <si>
    <t>Столбец49</t>
  </si>
  <si>
    <t>Столбец50</t>
  </si>
  <si>
    <t>Столбец51</t>
  </si>
  <si>
    <t>Столбец52</t>
  </si>
  <si>
    <t>Столбец53</t>
  </si>
  <si>
    <t>Столбец54</t>
  </si>
  <si>
    <t>Столбец55</t>
  </si>
  <si>
    <t>Столбец56</t>
  </si>
  <si>
    <t>Столбец57</t>
  </si>
  <si>
    <t>Столбец58</t>
  </si>
  <si>
    <t>Столбец59</t>
  </si>
  <si>
    <t>Столбец60</t>
  </si>
  <si>
    <t>Столбец61</t>
  </si>
  <si>
    <t>Столбец62</t>
  </si>
  <si>
    <t>Столбец63</t>
  </si>
  <si>
    <t>Столбец64</t>
  </si>
  <si>
    <t>Столбец65</t>
  </si>
  <si>
    <t>Столбец66</t>
  </si>
  <si>
    <t>Столбец67</t>
  </si>
  <si>
    <t>Столбец68</t>
  </si>
  <si>
    <t>Столбец69</t>
  </si>
  <si>
    <t>Столбец70</t>
  </si>
  <si>
    <t>Столбец71</t>
  </si>
  <si>
    <t>Столбец72</t>
  </si>
  <si>
    <t>Столбец73</t>
  </si>
  <si>
    <t>Столбец74</t>
  </si>
  <si>
    <t>Столбец75</t>
  </si>
  <si>
    <t>Столбец76</t>
  </si>
  <si>
    <t>Столбец77</t>
  </si>
  <si>
    <t>Столбец78</t>
  </si>
  <si>
    <t>Столбец79</t>
  </si>
  <si>
    <t>Столбец80</t>
  </si>
  <si>
    <t>Столбец81</t>
  </si>
  <si>
    <t>Столбец82</t>
  </si>
  <si>
    <t>Столбец83</t>
  </si>
  <si>
    <t>Столбец84</t>
  </si>
  <si>
    <t>Столбец85</t>
  </si>
  <si>
    <t>Столбец86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</si>
  <si>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</si>
  <si>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</si>
  <si>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</si>
  <si>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</si>
  <si>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</si>
  <si>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</si>
  <si>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Столбец93</t>
  </si>
  <si>
    <t>Столбец94</t>
  </si>
  <si>
    <t>Столбец95</t>
  </si>
  <si>
    <t>Столбец96</t>
  </si>
  <si>
    <t>Столбец97</t>
  </si>
  <si>
    <t>Столбец98</t>
  </si>
  <si>
    <t>Столбец99</t>
  </si>
  <si>
    <t>Столбец100</t>
  </si>
  <si>
    <t>Столбец101</t>
  </si>
  <si>
    <t>Столбец102</t>
  </si>
  <si>
    <t>Столбец103</t>
  </si>
  <si>
    <t>Столбец104</t>
  </si>
  <si>
    <t>Столбец105</t>
  </si>
  <si>
    <t>Столбец106</t>
  </si>
  <si>
    <t>Столбец107</t>
  </si>
  <si>
    <t>Столбец108</t>
  </si>
  <si>
    <t>Столбец109</t>
  </si>
  <si>
    <t>Столбец110</t>
  </si>
  <si>
    <t>Столбец111</t>
  </si>
  <si>
    <t>Столбец112</t>
  </si>
  <si>
    <t>Столбец113</t>
  </si>
  <si>
    <t>Столбец114</t>
  </si>
  <si>
    <t>Столбец115</t>
  </si>
  <si>
    <t>Столбец116</t>
  </si>
  <si>
    <t>Столбец117</t>
  </si>
  <si>
    <t>Столбец118</t>
  </si>
  <si>
    <t>Столбец119</t>
  </si>
  <si>
    <t>Столбец120</t>
  </si>
  <si>
    <t>Столбец121</t>
  </si>
  <si>
    <t>Столбец122</t>
  </si>
  <si>
    <t>Столбец123</t>
  </si>
  <si>
    <t>Столбец124</t>
  </si>
  <si>
    <t>Столбец125</t>
  </si>
  <si>
    <t>Столбец126</t>
  </si>
  <si>
    <t>Столбец127</t>
  </si>
  <si>
    <t>Столбец128</t>
  </si>
  <si>
    <t>Столбец129</t>
  </si>
  <si>
    <t>Столбец130</t>
  </si>
  <si>
    <t>Столбец131</t>
  </si>
  <si>
    <t>Столбец132</t>
  </si>
  <si>
    <t>Столбец133</t>
  </si>
  <si>
    <t>Столбец134</t>
  </si>
  <si>
    <t>Столбец135</t>
  </si>
  <si>
    <t>Столбец136</t>
  </si>
  <si>
    <t>Столбец137</t>
  </si>
  <si>
    <t>Столбец138</t>
  </si>
  <si>
    <t>Столбец139</t>
  </si>
  <si>
    <t>Столбец140</t>
  </si>
  <si>
    <t>Столбец141</t>
  </si>
  <si>
    <t>Столбец142</t>
  </si>
  <si>
    <t>Столбец143</t>
  </si>
  <si>
    <t>Столбец144</t>
  </si>
  <si>
    <t>Столбец145</t>
  </si>
  <si>
    <t>Столбец146</t>
  </si>
  <si>
    <t>Столбец147</t>
  </si>
  <si>
    <t>Столбец148</t>
  </si>
  <si>
    <t>Столбец149</t>
  </si>
  <si>
    <t>Столбец150</t>
  </si>
  <si>
    <t>Столбец151</t>
  </si>
  <si>
    <t>Столбец152</t>
  </si>
  <si>
    <t>Столбец153</t>
  </si>
  <si>
    <t>Столбец154</t>
  </si>
  <si>
    <t>Столбец155</t>
  </si>
  <si>
    <t>Столбец156</t>
  </si>
  <si>
    <t>Столбец157</t>
  </si>
  <si>
    <t>Столбец158</t>
  </si>
  <si>
    <t>Столбец159</t>
  </si>
  <si>
    <t>Столбец160</t>
  </si>
  <si>
    <t>Столбец161</t>
  </si>
  <si>
    <t>Столбец162</t>
  </si>
  <si>
    <t>Столбец163</t>
  </si>
  <si>
    <t>Столбец164</t>
  </si>
  <si>
    <t>Столбец165</t>
  </si>
  <si>
    <t>Столбец166</t>
  </si>
  <si>
    <t>Столбец167</t>
  </si>
  <si>
    <t>Столбец168</t>
  </si>
  <si>
    <t>Столбец169</t>
  </si>
  <si>
    <t>Столбец170</t>
  </si>
  <si>
    <t>Столбец171</t>
  </si>
  <si>
    <t>Столбец172</t>
  </si>
  <si>
    <t>Столбец173</t>
  </si>
  <si>
    <t>Столбец174</t>
  </si>
  <si>
    <t>Столбец175</t>
  </si>
  <si>
    <t>Столбец176</t>
  </si>
  <si>
    <t>Столбец177</t>
  </si>
  <si>
    <t>Столбец178</t>
  </si>
  <si>
    <t>Столбец179</t>
  </si>
  <si>
    <t>Столбец180</t>
  </si>
  <si>
    <t>Столбец181</t>
  </si>
  <si>
    <t>Столбец182</t>
  </si>
  <si>
    <t>Столбец183</t>
  </si>
  <si>
    <t>Столбец184</t>
  </si>
  <si>
    <t>Столбец185</t>
  </si>
  <si>
    <t>Столбец186</t>
  </si>
  <si>
    <t>Столбец187</t>
  </si>
  <si>
    <t>Столбец188</t>
  </si>
  <si>
    <t>Столбец189</t>
  </si>
  <si>
    <t>Столбец190</t>
  </si>
  <si>
    <t>Столбец191</t>
  </si>
  <si>
    <t>Столбец192</t>
  </si>
  <si>
    <t>Столбец193</t>
  </si>
  <si>
    <t>Столбец194</t>
  </si>
  <si>
    <t>Столбец195</t>
  </si>
  <si>
    <t>Столбец196</t>
  </si>
  <si>
    <t>Столбец197</t>
  </si>
  <si>
    <t>Столбец198</t>
  </si>
  <si>
    <t>Столбец199</t>
  </si>
  <si>
    <t>Столбец200</t>
  </si>
  <si>
    <t>Столбец201</t>
  </si>
  <si>
    <t>Столбец202</t>
  </si>
  <si>
    <t>Столбец203</t>
  </si>
  <si>
    <t>Столбец204</t>
  </si>
  <si>
    <t>Столбец205</t>
  </si>
  <si>
    <t>Столбец206</t>
  </si>
  <si>
    <t>Столбец207</t>
  </si>
  <si>
    <t>Столбец208</t>
  </si>
  <si>
    <t>Столбец209</t>
  </si>
  <si>
    <t>Столбец210</t>
  </si>
  <si>
    <t>Столбец211</t>
  </si>
  <si>
    <t>Столбец212</t>
  </si>
  <si>
    <t>Столбец213</t>
  </si>
  <si>
    <t>Столбец214</t>
  </si>
  <si>
    <t>Столбец215</t>
  </si>
  <si>
    <t>Столбец216</t>
  </si>
  <si>
    <t>Столбец217</t>
  </si>
  <si>
    <t>Столбец218</t>
  </si>
  <si>
    <t>Столбец219</t>
  </si>
  <si>
    <t>Столбец220</t>
  </si>
  <si>
    <t>Столбец221</t>
  </si>
  <si>
    <t>Столбец222</t>
  </si>
  <si>
    <t>Столбец223</t>
  </si>
  <si>
    <t>Столбец224</t>
  </si>
  <si>
    <t>Столбец225</t>
  </si>
  <si>
    <t>Столбец226</t>
  </si>
  <si>
    <t>Столбец227</t>
  </si>
  <si>
    <t>Столбец228</t>
  </si>
  <si>
    <t>Столбец229</t>
  </si>
  <si>
    <t>Столбец230</t>
  </si>
  <si>
    <t>Столбец231</t>
  </si>
  <si>
    <t>Столбец232</t>
  </si>
  <si>
    <t>Столбец233</t>
  </si>
  <si>
    <t>Столбец234</t>
  </si>
  <si>
    <t>Столбец235</t>
  </si>
  <si>
    <t>Столбец236</t>
  </si>
  <si>
    <t>Столбец237</t>
  </si>
  <si>
    <t>Столбец238</t>
  </si>
  <si>
    <t>Столбец239</t>
  </si>
  <si>
    <t>Столбец240</t>
  </si>
  <si>
    <t>Столбец241</t>
  </si>
  <si>
    <t>Столбец242</t>
  </si>
  <si>
    <t>Столбец243</t>
  </si>
  <si>
    <t>Столбец244</t>
  </si>
  <si>
    <t>Столбец245</t>
  </si>
  <si>
    <t>Столбец246</t>
  </si>
  <si>
    <t>Столбец247</t>
  </si>
  <si>
    <t>Столбец248</t>
  </si>
  <si>
    <t>Столбец249</t>
  </si>
  <si>
    <t>Столбец250</t>
  </si>
  <si>
    <t>Столбец251</t>
  </si>
  <si>
    <t>Столбец252</t>
  </si>
  <si>
    <t>Столбец253</t>
  </si>
  <si>
    <t>Столбец254</t>
  </si>
  <si>
    <t>Столбец255</t>
  </si>
  <si>
    <t>Столбец256</t>
  </si>
  <si>
    <t>Столбец257</t>
  </si>
  <si>
    <t>Столбец258</t>
  </si>
  <si>
    <t>Столбец259</t>
  </si>
  <si>
    <t>Столбец260</t>
  </si>
  <si>
    <t>Столбец261</t>
  </si>
  <si>
    <t>Столбец262</t>
  </si>
  <si>
    <t>Столбец263</t>
  </si>
  <si>
    <t>Столбец264</t>
  </si>
  <si>
    <t>Столбец265</t>
  </si>
  <si>
    <t>Столбец266</t>
  </si>
  <si>
    <t>Столбец267</t>
  </si>
  <si>
    <t>Столбец268</t>
  </si>
  <si>
    <t>Столбец269</t>
  </si>
  <si>
    <t>Столбец270</t>
  </si>
  <si>
    <t>Столбец271</t>
  </si>
  <si>
    <t>Столбец272</t>
  </si>
  <si>
    <t>Столбец273</t>
  </si>
  <si>
    <t>Столбец274</t>
  </si>
  <si>
    <t>Столбец275</t>
  </si>
  <si>
    <t>Столбец276</t>
  </si>
  <si>
    <t>Столбец277</t>
  </si>
  <si>
    <t>Столбец278</t>
  </si>
  <si>
    <t>Столбец279</t>
  </si>
  <si>
    <t>Столбец280</t>
  </si>
  <si>
    <t>Столбец281</t>
  </si>
  <si>
    <t>Столбец282</t>
  </si>
  <si>
    <t>Столбец283</t>
  </si>
  <si>
    <t>Столбец284</t>
  </si>
  <si>
    <t>Столбец285</t>
  </si>
  <si>
    <t>Столбец286</t>
  </si>
  <si>
    <t>Столбец287</t>
  </si>
  <si>
    <t>Столбец288</t>
  </si>
  <si>
    <t>Столбец289</t>
  </si>
  <si>
    <t>Столбец290</t>
  </si>
  <si>
    <t>Столбец291</t>
  </si>
  <si>
    <t>Столбец292</t>
  </si>
  <si>
    <t>Столбец293</t>
  </si>
  <si>
    <t>Столбец294</t>
  </si>
  <si>
    <t>Столбец295</t>
  </si>
  <si>
    <t>Столбец296</t>
  </si>
  <si>
    <t>Столбец297</t>
  </si>
  <si>
    <t>Столбец298</t>
  </si>
  <si>
    <t>Столбец299</t>
  </si>
  <si>
    <t>Столбец300</t>
  </si>
  <si>
    <t>Столбец301</t>
  </si>
  <si>
    <t>Столбец302</t>
  </si>
  <si>
    <t>Столбец303</t>
  </si>
  <si>
    <t>Столбец304</t>
  </si>
  <si>
    <t>Столбец305</t>
  </si>
  <si>
    <t>Столбец306</t>
  </si>
  <si>
    <t>Столбец307</t>
  </si>
  <si>
    <t>Столбец308</t>
  </si>
  <si>
    <t>Столбец309</t>
  </si>
  <si>
    <t>Столбец310</t>
  </si>
  <si>
    <t>Столбец311</t>
  </si>
  <si>
    <t>Столбец312</t>
  </si>
  <si>
    <t>Столбец313</t>
  </si>
  <si>
    <t>Столбец314</t>
  </si>
  <si>
    <t>Столбец315</t>
  </si>
  <si>
    <t>Столбец316</t>
  </si>
  <si>
    <t>Столбец317</t>
  </si>
  <si>
    <t>Столбец318</t>
  </si>
  <si>
    <t>Столбец319</t>
  </si>
  <si>
    <t>Столбец320</t>
  </si>
  <si>
    <t>Столбец321</t>
  </si>
  <si>
    <t>Столбец322</t>
  </si>
  <si>
    <t>Столбец323</t>
  </si>
  <si>
    <t>Столбец324</t>
  </si>
  <si>
    <t>Столбец325</t>
  </si>
  <si>
    <t>Столбец326</t>
  </si>
  <si>
    <t>Столбец327</t>
  </si>
  <si>
    <t>Столбец328</t>
  </si>
  <si>
    <t>Столбец329</t>
  </si>
  <si>
    <t>Столбец330</t>
  </si>
  <si>
    <t>Столбец331</t>
  </si>
  <si>
    <t>Столбец332</t>
  </si>
  <si>
    <t>Столбец333</t>
  </si>
  <si>
    <t>Столбец334</t>
  </si>
  <si>
    <t>Столбец335</t>
  </si>
  <si>
    <t>Столбец336</t>
  </si>
  <si>
    <t>Столбец337</t>
  </si>
  <si>
    <t>Столбец338</t>
  </si>
  <si>
    <t>Столбец339</t>
  </si>
  <si>
    <t>Столбец340</t>
  </si>
  <si>
    <t>Столбец341</t>
  </si>
  <si>
    <t>Столбец342</t>
  </si>
  <si>
    <t>Столбец343</t>
  </si>
  <si>
    <t>Столбец344</t>
  </si>
  <si>
    <t>Столбец345</t>
  </si>
  <si>
    <t>Столбец346</t>
  </si>
  <si>
    <t>Столбец347</t>
  </si>
  <si>
    <t>Столбец348</t>
  </si>
  <si>
    <t>Столбец349</t>
  </si>
  <si>
    <t>Столбец350</t>
  </si>
  <si>
    <t>Столбец351</t>
  </si>
  <si>
    <t>Столбец352</t>
  </si>
  <si>
    <t>Столбец353</t>
  </si>
  <si>
    <t>Столбец354</t>
  </si>
  <si>
    <t>Столбец355</t>
  </si>
  <si>
    <t>Столбец356</t>
  </si>
  <si>
    <t>Столбец357</t>
  </si>
  <si>
    <t>Столбец358</t>
  </si>
  <si>
    <t>Столбец359</t>
  </si>
  <si>
    <t>Столбец360</t>
  </si>
  <si>
    <t>Столбец361</t>
  </si>
  <si>
    <t>Столбец362</t>
  </si>
  <si>
    <t>Столбец363</t>
  </si>
  <si>
    <t>Столбец364</t>
  </si>
  <si>
    <t>Столбец365</t>
  </si>
  <si>
    <t>Столбец366</t>
  </si>
  <si>
    <t>июнь</t>
  </si>
  <si>
    <t>июль</t>
  </si>
  <si>
    <t>ГМО</t>
  </si>
  <si>
    <t>конец1</t>
  </si>
  <si>
    <t>конец2</t>
  </si>
  <si>
    <t>конец3</t>
  </si>
  <si>
    <t>период1</t>
  </si>
  <si>
    <t>период2</t>
  </si>
  <si>
    <t>период3</t>
  </si>
  <si>
    <t>1.апр-
20.апр</t>
  </si>
  <si>
    <t>1.июл-
18.июл</t>
  </si>
  <si>
    <t>1.сен-
20.сен</t>
  </si>
  <si>
    <t>10.янв-
19.янв</t>
  </si>
  <si>
    <t>10.фев-
15.фев</t>
  </si>
  <si>
    <t>10.янв-
21.янв</t>
  </si>
  <si>
    <t>9.сен-
20.сен</t>
  </si>
  <si>
    <t>9.фев-
20.фев</t>
  </si>
  <si>
    <t>2.фев-
21.фев</t>
  </si>
  <si>
    <t>10.янв-
18.янв</t>
  </si>
  <si>
    <t>8.фев-
18.фев</t>
  </si>
  <si>
    <t>7.сен-
11.сен</t>
  </si>
  <si>
    <t>22.ноя-
27.ноя</t>
  </si>
  <si>
    <t>1.фев-
3.фев</t>
  </si>
  <si>
    <t>7.авг-
16.авг</t>
  </si>
  <si>
    <t>1.авг-
15.авг</t>
  </si>
  <si>
    <t>1.мар-
16.мар</t>
  </si>
  <si>
    <t>1.июн-
21.июн</t>
  </si>
  <si>
    <t>4.май-
15.май</t>
  </si>
  <si>
    <t>5.мар-
15.мар</t>
  </si>
  <si>
    <t>1.июл-
10.июл</t>
  </si>
  <si>
    <t xml:space="preserve">дата нач.1 </t>
  </si>
  <si>
    <t xml:space="preserve">дней1 </t>
  </si>
  <si>
    <t xml:space="preserve">промежуток1 </t>
  </si>
  <si>
    <t xml:space="preserve">дней2 </t>
  </si>
  <si>
    <t xml:space="preserve">промежуток2 </t>
  </si>
  <si>
    <t xml:space="preserve">дней3 </t>
  </si>
  <si>
    <t>Названия строк</t>
  </si>
  <si>
    <t>17.фев-
27.фев</t>
  </si>
  <si>
    <t>15.янв-
1.фев</t>
  </si>
  <si>
    <t>1.авг-
10.авг</t>
  </si>
  <si>
    <t>15.фев-
1.мар</t>
  </si>
  <si>
    <t>ОТК</t>
  </si>
  <si>
    <t>Золотов А. И.</t>
  </si>
  <si>
    <t>Сидорова Н. Е.</t>
  </si>
  <si>
    <t>Савельев М. Б.</t>
  </si>
  <si>
    <t>Смирнов М. Я.</t>
  </si>
  <si>
    <t>Гаврилов М. Р.</t>
  </si>
  <si>
    <t>Попова С. Т.</t>
  </si>
  <si>
    <t>Орлова А. М.</t>
  </si>
  <si>
    <t>Евсеева В. Д.</t>
  </si>
  <si>
    <t>Ершова А. М.</t>
  </si>
  <si>
    <t>Григорьева Л. Г.</t>
  </si>
  <si>
    <t>Иванова А. М.</t>
  </si>
  <si>
    <t>Кондратова С. А.</t>
  </si>
  <si>
    <t>Игнатьева М. Л.</t>
  </si>
  <si>
    <t>Федорова П. Р.</t>
  </si>
  <si>
    <t>Клюев И. Н.</t>
  </si>
  <si>
    <t>Князева А. Д.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</si>
</sst>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19]mmm;@"/>
  </numFmts>
  <fonts count="5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Font="1"/>
    <xf numFmtId="9" fontId="3" fillId="0" borderId="1" xfId="0" applyNumberFormat="1" applyFont="1" applyBorder="1" applyAlignment="1">
      <alignment horizontal="center" textRotation="90"/>
    </xf>
    <xf numFmtId="0" fontId="0" fillId="4" borderId="0" xfId="0" applyFill="1"/>
    <xf numFmtId="9" fontId="0" fillId="4" borderId="1" xfId="0" applyNumberFormat="1" applyFill="1" applyBorder="1"/>
    <xf numFmtId="164" fontId="0" fillId="5" borderId="1" xfId="0" applyNumberFormat="1" applyFill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0" borderId="1" xfId="0" applyFont="1" applyBorder="1"/>
    <xf numFmtId="14" fontId="0" fillId="0" borderId="1" xfId="0" applyNumberFormat="1" applyFont="1" applyBorder="1"/>
    <xf numFmtId="0" fontId="0" fillId="0" borderId="1" xfId="0" applyFont="1" applyBorder="1" applyAlignment="1">
      <alignment horizontal="center"/>
    </xf>
    <xf numFmtId="2" fontId="0" fillId="0" borderId="1" xfId="0" applyNumberFormat="1" applyFont="1" applyBorder="1"/>
    <xf numFmtId="0" fontId="1" fillId="0" borderId="1" xfId="0" applyFont="1" applyBorder="1"/>
    <xf numFmtId="0" fontId="0" fillId="0" borderId="1" xfId="0" applyFont="1" applyFill="1" applyBorder="1"/>
    <xf numFmtId="0" fontId="0" fillId="0" borderId="2" xfId="0" applyFont="1" applyBorder="1"/>
    <xf numFmtId="0" fontId="1" fillId="0" borderId="3" xfId="0" applyFont="1" applyBorder="1"/>
    <xf numFmtId="0" fontId="0" fillId="3" borderId="6" xfId="0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0" fillId="3" borderId="7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0" borderId="9" xfId="0" applyFont="1" applyFill="1" applyBorder="1"/>
    <xf numFmtId="0" fontId="0" fillId="0" borderId="10" xfId="0" applyFont="1" applyBorder="1"/>
    <xf numFmtId="0" fontId="0" fillId="0" borderId="10" xfId="0" applyFont="1" applyFill="1" applyBorder="1"/>
    <xf numFmtId="14" fontId="0" fillId="0" borderId="10" xfId="0" applyNumberFormat="1" applyFont="1" applyBorder="1"/>
    <xf numFmtId="0" fontId="0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10" xfId="0" applyFont="1" applyFill="1" applyBorder="1"/>
    <xf numFmtId="0" fontId="1" fillId="0" borderId="10" xfId="0" applyFont="1" applyBorder="1"/>
    <xf numFmtId="0" fontId="1" fillId="0" borderId="11" xfId="0" applyFont="1" applyBorder="1"/>
    <xf numFmtId="0" fontId="0" fillId="0" borderId="9" xfId="0" applyFont="1" applyBorder="1"/>
    <xf numFmtId="0" fontId="1" fillId="0" borderId="7" xfId="0" applyFont="1" applyBorder="1"/>
    <xf numFmtId="164" fontId="0" fillId="0" borderId="0" xfId="0" applyNumberFormat="1"/>
    <xf numFmtId="16" fontId="1" fillId="0" borderId="7" xfId="0" applyNumberFormat="1" applyFont="1" applyBorder="1" applyAlignment="1">
      <alignment horizontal="center" vertical="top" textRotation="90"/>
    </xf>
    <xf numFmtId="16" fontId="1" fillId="0" borderId="8" xfId="0" applyNumberFormat="1" applyFont="1" applyBorder="1" applyAlignment="1">
      <alignment horizontal="center" vertical="top" textRotation="90"/>
    </xf>
    <xf numFmtId="0" fontId="0" fillId="0" borderId="0" xfId="0" applyAlignment="1">
      <alignment vertical="top"/>
    </xf>
    <xf numFmtId="2" fontId="0" fillId="0" borderId="10" xfId="0" applyNumberFormat="1" applyFont="1" applyBorder="1"/>
    <xf numFmtId="0" fontId="1" fillId="0" borderId="10" xfId="0" applyNumberFormat="1" applyFont="1" applyBorder="1"/>
    <xf numFmtId="15" fontId="1" fillId="0" borderId="6" xfId="0" applyNumberFormat="1" applyFont="1" applyBorder="1" applyAlignment="1">
      <alignment horizontal="center" vertical="top" textRotation="90"/>
    </xf>
    <xf numFmtId="15" fontId="1" fillId="0" borderId="7" xfId="0" applyNumberFormat="1" applyFont="1" applyBorder="1" applyAlignment="1">
      <alignment horizontal="center" vertical="top" textRotation="90"/>
    </xf>
    <xf numFmtId="14" fontId="4" fillId="0" borderId="0" xfId="0" applyNumberFormat="1" applyFont="1" applyAlignment="1">
      <alignment horizontal="center"/>
    </xf>
    <xf numFmtId="14" fontId="0" fillId="0" borderId="0" xfId="0" applyNumberFormat="1" applyAlignment="1">
      <alignment textRotation="90"/>
    </xf>
    <xf numFmtId="0" fontId="0" fillId="0" borderId="0" xfId="0" applyAlignment="1">
      <alignment vertical="center"/>
    </xf>
    <xf numFmtId="0" fontId="1" fillId="0" borderId="1" xfId="0" applyFont="1" applyBorder="1" applyAlignment="1">
      <alignment horizontal="center"/>
    </xf>
    <xf numFmtId="0" fontId="0" fillId="7" borderId="0" xfId="0" applyFill="1"/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/>
    <xf numFmtId="0" fontId="1" fillId="0" borderId="1" xfId="0" applyNumberFormat="1" applyFont="1" applyBorder="1"/>
    <xf numFmtId="0" fontId="4" fillId="0" borderId="0" xfId="0" applyFont="1" applyAlignment="1">
      <alignment horizontal="center"/>
    </xf>
    <xf numFmtId="14" fontId="1" fillId="0" borderId="7" xfId="0" applyNumberFormat="1" applyFont="1" applyBorder="1"/>
    <xf numFmtId="14" fontId="1" fillId="0" borderId="1" xfId="0" applyNumberFormat="1" applyFont="1" applyBorder="1"/>
    <xf numFmtId="14" fontId="1" fillId="0" borderId="10" xfId="0" applyNumberFormat="1" applyFont="1" applyBorder="1"/>
    <xf numFmtId="0" fontId="0" fillId="0" borderId="0" xfId="0" pivotButton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</cellXfs>
  <cellStyles count="1">
    <cellStyle name="Обычный" xfId="0" builtinId="0"/>
  </cellStyles>
  <dxfs count="410">
    <dxf>
      <alignment horizontal="general" vertical="center" textRotation="0" wrapText="0" indent="0" justifyLastLine="0" shrinkToFit="0" readingOrder="0"/>
    </dxf>
    <dxf>
      <numFmt numFmtId="19" formatCode="dd/mm/yyyy"/>
      <alignment horizontal="general" vertical="bottom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1" formatCode="dd/mmm"/>
      <alignment horizontal="center" vertical="top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</dxf>
    <dxf>
      <font>
        <color rgb="FFC00000"/>
      </font>
      <fill>
        <patternFill>
          <bgColor rgb="FFFFBDBD"/>
        </patternFill>
      </fill>
    </dxf>
    <dxf>
      <fill>
        <patternFill>
          <bgColor rgb="FFFFBDBD"/>
        </patternFill>
      </fill>
    </dxf>
    <dxf>
      <fill>
        <patternFill>
          <bgColor theme="9" tint="0.3999450666829432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</border>
    </dxf>
    <dxf>
      <fill>
        <patternFill>
          <bgColor theme="0" tint="-0.14996795556505021"/>
        </patternFill>
      </fill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2" defaultTableStyle="TableStyleMedium2" defaultPivotStyle="PivotStyleLight16">
    <tableStyle name="Плоский стиль сводного представления" table="0" count="3" xr9:uid="{00000000-0011-0000-FFFF-FFFF00000000}">
      <tableStyleElement type="headerRow" dxfId="409"/>
      <tableStyleElement type="totalRow" dxfId="408"/>
      <tableStyleElement type="secondRowStripe" dxfId="407"/>
    </tableStyle>
    <tableStyle name="Стиль таблицы 1" pivot="0" count="1" xr9:uid="{00000000-0011-0000-FFFF-FFFF01000000}">
      <tableStyleElement type="secondRowStripe" dxfId="406"/>
    </tableStyle>
  </tableStyles>
  <colors>
    <mruColors>
      <color rgb="FFFFBDBD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6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55" Type="http://schemas.openxmlformats.org/officeDocument/2006/relationships/customXml" Target="../customXml/item34.xml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8.xml"/><Relationship Id="rId11" Type="http://schemas.microsoft.com/office/2007/relationships/slicerCache" Target="slicerCaches/slicerCache3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pivotCacheDefinition" Target="pivotCache/pivotCacheDefinition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pivotTable" Target="pivotTables/pivotTable1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56" Type="http://schemas.openxmlformats.org/officeDocument/2006/relationships/customXml" Target="../customXml/item35.xml"/><Relationship Id="rId8" Type="http://schemas.openxmlformats.org/officeDocument/2006/relationships/pivotCacheDefinition" Target="pivotCache/pivotCacheDefinition4.xml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5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5" Type="http://schemas.openxmlformats.org/officeDocument/2006/relationships/pivotTable" Target="pivotTables/pivotTable2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57" Type="http://schemas.microsoft.com/office/2006/relationships/vbaProject" Target="vbaProject.bin"/><Relationship Id="rId10" Type="http://schemas.microsoft.com/office/2007/relationships/slicerCache" Target="slicerCaches/slicerCache2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Среднемесячный % явки в сумме</a:t>
            </a:r>
          </a:p>
          <a:p>
            <a:pPr>
              <a:defRPr/>
            </a:pPr>
            <a:r>
              <a:rPr lang="ru-RU" sz="1200"/>
              <a:t> по общей численности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Итог</c:v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2"/>
              <c:pt idx="0">
                <c:v>янв</c:v>
              </c:pt>
              <c:pt idx="1">
                <c:v>фев</c:v>
              </c:pt>
              <c:pt idx="2">
                <c:v>мар</c:v>
              </c:pt>
              <c:pt idx="3">
                <c:v>апр</c:v>
              </c:pt>
              <c:pt idx="4">
                <c:v>май</c:v>
              </c:pt>
              <c:pt idx="5">
                <c:v>июн</c:v>
              </c:pt>
              <c:pt idx="6">
                <c:v>июл</c:v>
              </c:pt>
              <c:pt idx="7">
                <c:v>авг</c:v>
              </c:pt>
              <c:pt idx="8">
                <c:v>сен</c:v>
              </c:pt>
              <c:pt idx="9">
                <c:v>окт</c:v>
              </c:pt>
              <c:pt idx="10">
                <c:v>ноя</c:v>
              </c:pt>
              <c:pt idx="11">
                <c:v>дек</c:v>
              </c:pt>
            </c:strLit>
          </c:cat>
          <c:val>
            <c:numLit>
              <c:formatCode>0%;\-0%;0%</c:formatCode>
              <c:ptCount val="12"/>
              <c:pt idx="0">
                <c:v>0.8203125</c:v>
              </c:pt>
              <c:pt idx="1">
                <c:v>0.82236842105263153</c:v>
              </c:pt>
              <c:pt idx="2">
                <c:v>0.95238095238095233</c:v>
              </c:pt>
              <c:pt idx="3">
                <c:v>0.95833333333333337</c:v>
              </c:pt>
              <c:pt idx="4">
                <c:v>0.97916666666666663</c:v>
              </c:pt>
              <c:pt idx="5">
                <c:v>0.95833333333333337</c:v>
              </c:pt>
              <c:pt idx="6">
                <c:v>0.9464285714285714</c:v>
              </c:pt>
              <c:pt idx="7">
                <c:v>0.92934782608695654</c:v>
              </c:pt>
              <c:pt idx="8">
                <c:v>0.90625</c:v>
              </c:pt>
              <c:pt idx="9">
                <c:v>1</c:v>
              </c:pt>
              <c:pt idx="10">
                <c:v>0.98809523809523814</c:v>
              </c:pt>
              <c:pt idx="1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4908-44A2-9731-8B474799B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9269392"/>
        <c:axId val="739276936"/>
      </c:barChart>
      <c:catAx>
        <c:axId val="7392693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927693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39276936"/>
        <c:scaling>
          <c:orientation val="minMax"/>
        </c:scaling>
        <c:delete val="1"/>
        <c:axPos val="l"/>
        <c:numFmt formatCode="0%;\-0%;0%" sourceLinked="0"/>
        <c:majorTickMark val="none"/>
        <c:minorTickMark val="none"/>
        <c:tickLblPos val="nextTo"/>
        <c:crossAx val="739269392"/>
        <c:crosses val="autoZero"/>
        <c:crossBetween val="between"/>
        <c:extLst>
          <c:ext xmlns:c15="http://schemas.microsoft.com/office/drawing/2012/chart" uri="{F40574EE-89B7-4290-83BB-5DA773EAF853}">
            <c15:numFmt c:formatCode="0%;\-0%;0%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[График отпусков.xlsm]PivotChartTable3</c15:name>
        <c15:fmtId val="1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cap="none" baseline="0">
                <a:effectLst/>
              </a:rPr>
              <a:t>Среднемесячный % явки</a:t>
            </a:r>
            <a:r>
              <a:rPr lang="ru-RU"/>
              <a:t> </a:t>
            </a:r>
          </a:p>
          <a:p>
            <a:pPr>
              <a:defRPr/>
            </a:pPr>
            <a:r>
              <a:rPr lang="ru-RU" sz="1200"/>
              <a:t>по отделам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81799177757636E-2"/>
          <c:y val="0.25158139534883728"/>
          <c:w val="0.89499133005486231"/>
          <c:h val="0.60301629738143192"/>
        </c:manualLayout>
      </c:layout>
      <c:barChart>
        <c:barDir val="col"/>
        <c:grouping val="clustered"/>
        <c:varyColors val="0"/>
        <c:ser>
          <c:idx val="0"/>
          <c:order val="0"/>
          <c:tx>
            <c:v>ГМО</c:v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2"/>
              <c:pt idx="0">
                <c:v>янв</c:v>
              </c:pt>
              <c:pt idx="1">
                <c:v>фев</c:v>
              </c:pt>
              <c:pt idx="2">
                <c:v>мар</c:v>
              </c:pt>
              <c:pt idx="3">
                <c:v>апр</c:v>
              </c:pt>
              <c:pt idx="4">
                <c:v>май</c:v>
              </c:pt>
              <c:pt idx="5">
                <c:v>июн</c:v>
              </c:pt>
              <c:pt idx="6">
                <c:v>июл</c:v>
              </c:pt>
              <c:pt idx="7">
                <c:v>авг</c:v>
              </c:pt>
              <c:pt idx="8">
                <c:v>сен</c:v>
              </c:pt>
              <c:pt idx="9">
                <c:v>окт</c:v>
              </c:pt>
              <c:pt idx="10">
                <c:v>ноя</c:v>
              </c:pt>
              <c:pt idx="11">
                <c:v>дек</c:v>
              </c:pt>
            </c:strLit>
          </c:cat>
          <c:val>
            <c:numLit>
              <c:formatCode>0%</c:formatCode>
              <c:ptCount val="12"/>
              <c:pt idx="0">
                <c:v>0.77083333333333315</c:v>
              </c:pt>
              <c:pt idx="1">
                <c:v>0.82456140350877161</c:v>
              </c:pt>
              <c:pt idx="2">
                <c:v>0.98412698412698418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0.88405797101449302</c:v>
              </c:pt>
              <c:pt idx="8">
                <c:v>0.78787878787878762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5969-4BBC-AEB1-304F8C9AE73C}"/>
            </c:ext>
          </c:extLst>
        </c:ser>
        <c:ser>
          <c:idx val="1"/>
          <c:order val="1"/>
          <c:tx>
            <c:v>ОТК</c:v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2"/>
              <c:pt idx="0">
                <c:v>янв</c:v>
              </c:pt>
              <c:pt idx="1">
                <c:v>фев</c:v>
              </c:pt>
              <c:pt idx="2">
                <c:v>мар</c:v>
              </c:pt>
              <c:pt idx="3">
                <c:v>апр</c:v>
              </c:pt>
              <c:pt idx="4">
                <c:v>май</c:v>
              </c:pt>
              <c:pt idx="5">
                <c:v>июн</c:v>
              </c:pt>
              <c:pt idx="6">
                <c:v>июл</c:v>
              </c:pt>
              <c:pt idx="7">
                <c:v>авг</c:v>
              </c:pt>
              <c:pt idx="8">
                <c:v>сен</c:v>
              </c:pt>
              <c:pt idx="9">
                <c:v>окт</c:v>
              </c:pt>
              <c:pt idx="10">
                <c:v>ноя</c:v>
              </c:pt>
              <c:pt idx="11">
                <c:v>дек</c:v>
              </c:pt>
            </c:strLit>
          </c:cat>
          <c:val>
            <c:numLit>
              <c:formatCode>0%</c:formatCode>
              <c:ptCount val="12"/>
              <c:pt idx="0">
                <c:v>0.77678571428571419</c:v>
              </c:pt>
              <c:pt idx="1">
                <c:v>0.83458646616541332</c:v>
              </c:pt>
              <c:pt idx="2">
                <c:v>0.89795918367346961</c:v>
              </c:pt>
              <c:pt idx="3">
                <c:v>1</c:v>
              </c:pt>
              <c:pt idx="4">
                <c:v>0.95238095238095233</c:v>
              </c:pt>
              <c:pt idx="5">
                <c:v>0.90476190476190477</c:v>
              </c:pt>
              <c:pt idx="6">
                <c:v>0.95918367346938771</c:v>
              </c:pt>
              <c:pt idx="7">
                <c:v>1</c:v>
              </c:pt>
              <c:pt idx="8">
                <c:v>0.94805194805194803</c:v>
              </c:pt>
              <c:pt idx="9">
                <c:v>1</c:v>
              </c:pt>
              <c:pt idx="10">
                <c:v>0.97278911564625858</c:v>
              </c:pt>
              <c:pt idx="1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73A9-48EF-A2EA-BF3D9B4B889F}"/>
            </c:ext>
          </c:extLst>
        </c:ser>
        <c:ser>
          <c:idx val="2"/>
          <c:order val="2"/>
          <c:tx>
            <c:v>ПДО</c:v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2"/>
              <c:pt idx="0">
                <c:v>янв</c:v>
              </c:pt>
              <c:pt idx="1">
                <c:v>фев</c:v>
              </c:pt>
              <c:pt idx="2">
                <c:v>мар</c:v>
              </c:pt>
              <c:pt idx="3">
                <c:v>апр</c:v>
              </c:pt>
              <c:pt idx="4">
                <c:v>май</c:v>
              </c:pt>
              <c:pt idx="5">
                <c:v>июн</c:v>
              </c:pt>
              <c:pt idx="6">
                <c:v>июл</c:v>
              </c:pt>
              <c:pt idx="7">
                <c:v>авг</c:v>
              </c:pt>
              <c:pt idx="8">
                <c:v>сен</c:v>
              </c:pt>
              <c:pt idx="9">
                <c:v>окт</c:v>
              </c:pt>
              <c:pt idx="10">
                <c:v>ноя</c:v>
              </c:pt>
              <c:pt idx="11">
                <c:v>дек</c:v>
              </c:pt>
            </c:strLit>
          </c:cat>
          <c:val>
            <c:numLit>
              <c:formatCode>0%</c:formatCode>
              <c:ptCount val="12"/>
              <c:pt idx="0">
                <c:v>0.89583333333333337</c:v>
              </c:pt>
              <c:pt idx="1">
                <c:v>0.80701754385964886</c:v>
              </c:pt>
              <c:pt idx="2">
                <c:v>1</c:v>
              </c:pt>
              <c:pt idx="3">
                <c:v>0.88888888888888895</c:v>
              </c:pt>
              <c:pt idx="4">
                <c:v>1</c:v>
              </c:pt>
              <c:pt idx="5">
                <c:v>1</c:v>
              </c:pt>
              <c:pt idx="6">
                <c:v>0.90476190476190477</c:v>
              </c:pt>
              <c:pt idx="7">
                <c:v>0.86956521739130466</c:v>
              </c:pt>
              <c:pt idx="8">
                <c:v>0.91666666666666674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5-73A9-48EF-A2EA-BF3D9B4B8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47541288"/>
        <c:axId val="1247541616"/>
      </c:barChart>
      <c:catAx>
        <c:axId val="12475412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754161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47541616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1247541288"/>
        <c:crosses val="autoZero"/>
        <c:crossBetween val="between"/>
        <c:extLst>
          <c:ext xmlns:c15="http://schemas.microsoft.com/office/drawing/2012/chart" uri="{F40574EE-89B7-4290-83BB-5DA773EAF853}">
            <c15:numFmt c:formatCode="0%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[График отпусков.xlsm]PivotChartTable2</c15:name>
        <c15:fmtId val="1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[График отпусков.xlsm]График_сжато!Сводная таблица1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отпусков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D98E904-567C-4016-AA96-4B7C052951B4}" type="CELLRANGE">
                  <a:rPr lang="ru-RU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7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B7ED5C7-D4F0-4CE6-BE64-0BAA59547B2C}" type="CELLRANGE">
                  <a:rPr lang="ru-RU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471679A-387F-473A-AB30-B0DE99A2D8FC}" type="CELLRANGE">
                  <a:rPr lang="ru-RU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"/>
        <c:dLbl>
          <c:idx val="0"/>
          <c:tx>
            <c:rich>
              <a:bodyPr/>
              <a:lstStyle/>
              <a:p>
                <a:fld id="{2D3348C5-8C73-4DD6-9B66-6BF017271BEA}" type="CELLRANGE">
                  <a:rPr lang="en-US"/>
                  <a:pPr/>
                  <a:t>[ДИАПАЗОН ЯЧЕЕК]</a:t>
                </a:fld>
                <a:endParaRPr lang="ru-RU"/>
              </a:p>
            </c:rich>
          </c:tx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0"/>
        <c:dLbl>
          <c:idx val="0"/>
          <c:tx>
            <c:rich>
              <a:bodyPr/>
              <a:lstStyle/>
              <a:p>
                <a:fld id="{12DCDF30-0E44-4509-B19E-0517A2DE1BB8}" type="CELLRANGE">
                  <a:rPr lang="en-US"/>
                  <a:pPr/>
                  <a:t>[ДИАПАЗОН ЯЧЕЕК]</a:t>
                </a:fld>
                <a:endParaRPr lang="ru-RU"/>
              </a:p>
            </c:rich>
          </c:tx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1"/>
        <c:dLbl>
          <c:idx val="0"/>
          <c:tx>
            <c:rich>
              <a:bodyPr/>
              <a:lstStyle/>
              <a:p>
                <a:fld id="{7601954B-2309-4C14-B096-652CC426DC8C}" type="CELLRANGE">
                  <a:rPr lang="en-US"/>
                  <a:pPr/>
                  <a:t>[ДИАПАЗОН ЯЧЕЕК]</a:t>
                </a:fld>
                <a:endParaRPr lang="ru-RU"/>
              </a:p>
            </c:rich>
          </c:tx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2"/>
        <c:dLbl>
          <c:idx val="0"/>
          <c:tx>
            <c:rich>
              <a:bodyPr/>
              <a:lstStyle/>
              <a:p>
                <a:fld id="{22354130-DAAE-43A8-A73A-F2FF08725532}" type="CELLRANGE">
                  <a:rPr lang="en-US"/>
                  <a:pPr/>
                  <a:t>[ДИАПАЗОН ЯЧЕЕК]</a:t>
                </a:fld>
                <a:endParaRPr lang="ru-RU"/>
              </a:p>
            </c:rich>
          </c:tx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3"/>
        <c:dLbl>
          <c:idx val="0"/>
          <c:tx>
            <c:rich>
              <a:bodyPr/>
              <a:lstStyle/>
              <a:p>
                <a:fld id="{1E3B8DE2-1B69-42D5-AA09-40B4AF9E584A}" type="CELLRANGE">
                  <a:rPr lang="en-US"/>
                  <a:pPr/>
                  <a:t>[ДИАПАЗОН ЯЧЕЕК]</a:t>
                </a:fld>
                <a:endParaRPr lang="ru-RU"/>
              </a:p>
            </c:rich>
          </c:tx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4"/>
        <c:dLbl>
          <c:idx val="0"/>
          <c:tx>
            <c:rich>
              <a:bodyPr/>
              <a:lstStyle/>
              <a:p>
                <a:fld id="{2D8F6835-92F7-4A07-B37A-C9389B80330B}" type="CELLRANGE">
                  <a:rPr lang="en-US"/>
                  <a:pPr/>
                  <a:t>[ДИАПАЗОН ЯЧЕЕК]</a:t>
                </a:fld>
                <a:endParaRPr lang="ru-RU"/>
              </a:p>
            </c:rich>
          </c:tx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5"/>
        <c:dLbl>
          <c:idx val="0"/>
          <c:tx>
            <c:rich>
              <a:bodyPr/>
              <a:lstStyle/>
              <a:p>
                <a:fld id="{8C98C743-10F6-45C3-B6AB-5C2D3D3D80BA}" type="CELLRANGE">
                  <a:rPr lang="en-US"/>
                  <a:pPr/>
                  <a:t>[ДИАПАЗОН ЯЧЕЕК]</a:t>
                </a:fld>
                <a:endParaRPr lang="ru-RU"/>
              </a:p>
            </c:rich>
          </c:tx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6"/>
        <c:dLbl>
          <c:idx val="0"/>
          <c:tx>
            <c:rich>
              <a:bodyPr/>
              <a:lstStyle/>
              <a:p>
                <a:fld id="{E52B4A7B-5E88-4772-9495-12C03345ECBC}" type="CELLRANGE">
                  <a:rPr lang="en-US"/>
                  <a:pPr/>
                  <a:t>[ДИАПАЗОН ЯЧЕЕК]</a:t>
                </a:fld>
                <a:endParaRPr lang="ru-RU"/>
              </a:p>
            </c:rich>
          </c:tx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7"/>
        <c:dLbl>
          <c:idx val="0"/>
          <c:tx>
            <c:rich>
              <a:bodyPr/>
              <a:lstStyle/>
              <a:p>
                <a:fld id="{3BD2778D-19EF-4D2E-9044-7FDE038E9C36}" type="CELLRANGE">
                  <a:rPr lang="en-US"/>
                  <a:pPr/>
                  <a:t>[ДИАПАЗОН ЯЧЕЕК]</a:t>
                </a:fld>
                <a:endParaRPr lang="ru-RU"/>
              </a:p>
            </c:rich>
          </c:tx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8"/>
        <c:dLbl>
          <c:idx val="0"/>
          <c:tx>
            <c:rich>
              <a:bodyPr/>
              <a:lstStyle/>
              <a:p>
                <a:fld id="{20FB70A8-9126-415A-B061-224CB168B393}" type="CELLRANGE">
                  <a:rPr lang="en-US"/>
                  <a:pPr/>
                  <a:t>[ДИАПАЗОН ЯЧЕЕК]</a:t>
                </a:fld>
                <a:endParaRPr lang="ru-RU"/>
              </a:p>
            </c:rich>
          </c:tx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9"/>
        <c:dLbl>
          <c:idx val="0"/>
          <c:tx>
            <c:rich>
              <a:bodyPr/>
              <a:lstStyle/>
              <a:p>
                <a:fld id="{258FA604-77CE-4314-96DF-2E07EF3DE843}" type="CELLRANGE">
                  <a:rPr lang="en-US"/>
                  <a:pPr/>
                  <a:t>[ДИАПАЗОН ЯЧЕЕК]</a:t>
                </a:fld>
                <a:endParaRPr lang="ru-RU"/>
              </a:p>
            </c:rich>
          </c:tx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noFill/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noFill/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4B2D93A-5F8A-41CA-A03A-2F9BB2A64F99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B4E7B7A-C56B-46E0-85E4-728F2C226B3E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84CA762-F61B-4C09-8BAE-B3D2A726045F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84218F7-52B7-4526-BE8E-3256BC59ACBD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8F35943-9B25-4818-9E17-865407E54268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25A336E-10AD-4C89-A6AE-54933C947811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60FC75E-39BA-4CB3-B55F-B531515C06CF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9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90A0E97-8790-4D50-9453-9E032E9BA87E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4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ECC6CD6-9A0E-4BF7-B7A5-B060842E6B19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4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56AFC3E-6F9E-4C9C-8304-E7A3AEBED50E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4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568E59A-8D5C-4DCF-BD80-9F89BCBA0040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4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116E38D-EDC6-47C9-92A0-D286C3A2F1B8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4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7C3EE9E-38E4-4920-A6F1-E3DE25912DC2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4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B8A4759-994B-4E1A-ADA2-33D00A9592B7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4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8652431-3C5B-455A-8CAD-C94513E4122C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4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1546C93-9AF7-4F4A-B0A1-1E884A958100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4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219E4C4-0B23-4B45-B0BF-B365A6B1A3AD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49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5DEA636-194A-4E49-9D8C-008880963222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5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E539512-EE88-4DC0-8205-9EE6BBADFBDC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5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44E8A47-10C8-4142-8708-0D4D3EF92EC3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5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4144E39-A80A-4A17-8BB5-A8B20AFFB841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5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E2DCCD0-7EE1-4B7F-83D1-B7504F8AF176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5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BBEB8B7-9E36-405A-A0B1-736E50C73A45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5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DB1C7DC-E2C4-4635-948D-101FE6C4CB79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5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340CF14-824D-4DB7-B37B-CB1F90DA2723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5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9463890-5018-45F5-B8C7-792913A382B3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5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82032B8-6E3B-4C49-9E17-705FB27B5C8C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59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54B6D33-3F96-4806-A485-4F72EB7C971E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6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1E7EA35-0D83-4BB4-A90F-5E3AD4B9322F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6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477977F-4F26-4A67-820A-C1254D5A3C22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6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0CF8A67-A7F4-46FD-B88E-462CF2CF9756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6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EA7FC02-49A9-4A28-9DA5-AB5207B208CF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6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C22B8FA-F0D4-4DBA-BD8D-F92A5CDBFAC4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6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622954F-8A2D-4961-8A01-BC6D1EF220AE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6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2498E2C-EBE6-494D-A365-CFB595ED0AE1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6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D51191D-0915-4A15-BA77-83757EABABD2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6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C133F9F-1697-4D2C-B107-6E9080210E7D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69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CEAF12C-9FA8-4223-A76E-3AF9268A8FC3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7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3ECA0AE-A23B-4FFB-9A6D-133F54B29C8C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7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797B3A7-D747-4C61-A98E-E93F0AA3D8D3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7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6F2D313-A865-46AD-87D1-E2A55E5FF379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7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07CB4FC-940D-4CFF-AFEE-58C56265E3B6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7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1F9E5DC-BB3B-4436-B9EA-42AFD6644374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7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A6FE7F1-9CC5-4E6D-B463-36474886745D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7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938CBB1-CE02-4BDC-8CA3-B60CF9AEEED2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7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E3CFA1E-1C11-4ACE-8DF0-6F68E521F22B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7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AD4AFB2-F144-4B96-83F8-BEE95BB07C50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79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84C33F4-1D1B-42AA-A145-C91122F7F4B3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8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F93AE94-6F0E-4972-BB8B-75BBF737F4D1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8B6B7B21-8EB0-485F-AA35-24F9409B20C6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F770059-C391-4645-A8FC-2E64B9F6D92B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CDC5DC3-5063-4CAB-B956-836D3F17DBAB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8DC810C-E451-4989-B243-EA356D1DCA35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562B999-9831-4093-81BA-D364BDFEAD21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74124C9-E8EA-4753-942A-7691F041A38D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7077362-26AA-4635-969A-DCD288540FC9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78E18D6-62EF-4303-ABFC-F8A87BBEFAF3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9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1E5F18B-AAF8-44B4-A5B7-879BB559F321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D8F2DC6-43D8-4F6A-83F8-963BE6D98A0F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81A222C1-C004-410B-A52D-E9AA077CE47C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069A05A-CAC8-4CA9-BCF6-18F0422A9610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FF750A1-EAC8-479F-9052-1B18065874F7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C95C32E-A18C-496E-AB0C-4A7F6B6317A2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C2BA1D4-9E0B-49EF-9A4D-A6F4CDCBA335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1DCD2A6-E90B-48A8-B068-53841D7C5843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9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94F9E61-ACC3-4A29-B8BC-CD37C9E5D17A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6EF3BE6-5623-4198-B8B8-FF834453B562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99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D5B91B5-2A6F-4083-B4C4-93F5F006A8B9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0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E9B3582-EFA5-479C-9746-69F4F4F8C508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0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50D062D-38F2-4C3F-A3DB-C41A32A1441B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0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B615B06-D745-4E26-8709-B40506BE56DC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0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D339849-CA9D-4D0F-9D54-3ADF7C0FC41B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0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3585326-55BD-404A-A0A9-1CD9DAA2164E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0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C2FB4C2-54B7-4FA1-BE4E-3964D5C815F1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0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6A7319B-41E3-4182-BEC7-F0875521B07B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0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D32A5F7-D7DF-4361-8EC4-01E9103BBCF1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0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61EE2E9-6940-4593-86BC-909D13098639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09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30F6383-2767-42D2-AF37-C7A89A121BE9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1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4EFCB58-8877-48AF-A7AD-8E8737E9C986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1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665663C-0BD3-4DD8-8A64-626C92342E41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D39CF57-9C48-439A-92D0-E8B64F30B7C5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1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2D2F433-5C9E-4C33-AACA-2B0B6D9EA3B0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1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5781537-750E-4BA8-B8F0-D20208529212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1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6B1A50C-5F30-4F55-B444-179C6E0B72FD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6D5E439-327F-4351-B885-D4C03F75E05D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1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130B036-E6D2-4F58-A2DE-7CA4778B2F3C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1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0D36C4A-0E8E-4EE0-ACCC-B1243B3E608C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19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770DCA4-29A3-4154-A5D3-651945009F8C}" type="CELLRANGE">
                  <a:rPr lang="ru-RU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005BF22-9D91-4C3E-B52F-4447EF2DAEE2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2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659E0F8-B570-4834-B004-7546CCB8FF35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2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B5B5C72-602B-482C-9A08-DC09164CA3A3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2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ED2E2BA-7D32-460B-8D01-30792D28F5DD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5C90BD7-8E74-4773-B89A-23949514AF3F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2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30E7F72-F3CE-4EDB-8359-734E6C18CCE6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2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8DD1B8FD-D844-4D53-9AD2-296A3AB7F446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2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862429D-6482-4033-BCED-D0B4A2819AFF}" type="CELLRANGE">
                  <a:rPr lang="en-US"/>
                  <a:pPr>
                    <a:defRPr/>
                  </a:pPr>
                  <a:t>[ДИАПАЗОН ЯЧЕЕК]</a:t>
                </a:fld>
                <a:endParaRPr lang="ru-RU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2624457292071878"/>
          <c:y val="0.11421411147136018"/>
          <c:w val="0.84364753383680535"/>
          <c:h val="0.844817538984097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График_сжато!$Q$3:$Q$170</c:f>
              <c:strCache>
                <c:ptCount val="1"/>
                <c:pt idx="0">
                  <c:v>дата нач.1 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График_сжато!$Q$3:$Q$170</c:f>
              <c:multiLvlStrCache>
                <c:ptCount val="16"/>
                <c:lvl>
                  <c:pt idx="0">
                    <c:v>Клюев И. Н.</c:v>
                  </c:pt>
                  <c:pt idx="1">
                    <c:v>Князева А. Д.</c:v>
                  </c:pt>
                  <c:pt idx="2">
                    <c:v>Федорова П. Р.</c:v>
                  </c:pt>
                  <c:pt idx="3">
                    <c:v>Гаврилов М. Р.</c:v>
                  </c:pt>
                  <c:pt idx="4">
                    <c:v>Золотов А. И.</c:v>
                  </c:pt>
                  <c:pt idx="5">
                    <c:v>Орлова А. М.</c:v>
                  </c:pt>
                  <c:pt idx="6">
                    <c:v>Попова С. Т.</c:v>
                  </c:pt>
                  <c:pt idx="7">
                    <c:v>Савельев М. Б.</c:v>
                  </c:pt>
                  <c:pt idx="8">
                    <c:v>Сидорова Н. Е.</c:v>
                  </c:pt>
                  <c:pt idx="9">
                    <c:v>Смирнов М. Я.</c:v>
                  </c:pt>
                  <c:pt idx="10">
                    <c:v>Григорьева Л. Г.</c:v>
                  </c:pt>
                  <c:pt idx="11">
                    <c:v>Евсеева В. Д.</c:v>
                  </c:pt>
                  <c:pt idx="12">
                    <c:v>Ершова А. М.</c:v>
                  </c:pt>
                  <c:pt idx="13">
                    <c:v>Иванова А. М.</c:v>
                  </c:pt>
                  <c:pt idx="14">
                    <c:v>Игнатьева М. Л.</c:v>
                  </c:pt>
                  <c:pt idx="15">
                    <c:v>Кондратова С. А.</c:v>
                  </c:pt>
                </c:lvl>
                <c:lvl>
                  <c:pt idx="0">
                    <c:v>ГМО</c:v>
                  </c:pt>
                  <c:pt idx="3">
                    <c:v>ОТК</c:v>
                  </c:pt>
                  <c:pt idx="10">
                    <c:v>ПДО</c:v>
                  </c:pt>
                </c:lvl>
              </c:multiLvlStrCache>
            </c:multiLvlStrRef>
          </c:cat>
          <c:val>
            <c:numRef>
              <c:f>График_сжато!$Q$3:$Q$170</c:f>
              <c:numCache>
                <c:formatCode>General</c:formatCode>
                <c:ptCount val="16"/>
                <c:pt idx="0">
                  <c:v>44576</c:v>
                </c:pt>
                <c:pt idx="1">
                  <c:v>44607</c:v>
                </c:pt>
                <c:pt idx="2">
                  <c:v>44805</c:v>
                </c:pt>
                <c:pt idx="3">
                  <c:v>44600</c:v>
                </c:pt>
                <c:pt idx="4">
                  <c:v>44609</c:v>
                </c:pt>
                <c:pt idx="5">
                  <c:v>44813</c:v>
                </c:pt>
                <c:pt idx="6">
                  <c:v>44571</c:v>
                </c:pt>
                <c:pt idx="7">
                  <c:v>44571</c:v>
                </c:pt>
                <c:pt idx="8">
                  <c:v>44602</c:v>
                </c:pt>
                <c:pt idx="9">
                  <c:v>44571</c:v>
                </c:pt>
                <c:pt idx="10">
                  <c:v>44601</c:v>
                </c:pt>
                <c:pt idx="11">
                  <c:v>44594</c:v>
                </c:pt>
                <c:pt idx="12">
                  <c:v>44571</c:v>
                </c:pt>
                <c:pt idx="13">
                  <c:v>44813</c:v>
                </c:pt>
                <c:pt idx="14">
                  <c:v>44743</c:v>
                </c:pt>
                <c:pt idx="15">
                  <c:v>44652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E9-4918-9D3A-2574361E9B88}"/>
            </c:ext>
          </c:extLst>
        </c:ser>
        <c:ser>
          <c:idx val="1"/>
          <c:order val="1"/>
          <c:tx>
            <c:strRef>
              <c:f>График_сжато!$Q$3:$Q$170</c:f>
              <c:strCache>
                <c:ptCount val="1"/>
                <c:pt idx="0">
                  <c:v>дней1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F93AE94-6F0E-4972-BB8B-75BBF737F4D1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E9-4918-9D3A-2574361E9B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6B7B21-8EB0-485F-AA35-24F9409B20C6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E9-4918-9D3A-2574361E9B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770059-C391-4645-A8FC-2E64B9F6D92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E9-4918-9D3A-2574361E9B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DC5DC3-5063-4CAB-B956-836D3F17DBA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E9-4918-9D3A-2574361E9B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DC810C-E451-4989-B243-EA356D1DCA35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E9-4918-9D3A-2574361E9B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62B999-9831-4093-81BA-D364BDFEAD21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E9-4918-9D3A-2574361E9B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4124C9-E8EA-4753-942A-7691F041A38D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E9-4918-9D3A-2574361E9B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077362-26AA-4635-969A-DCD288540FC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E9-4918-9D3A-2574361E9B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8E18D6-62EF-4303-ABFC-F8A87BBEFAF3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E9-4918-9D3A-2574361E9B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E5F18B-AAF8-44B4-A5B7-879BB559F321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E9-4918-9D3A-2574361E9B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8F2DC6-43D8-4F6A-83F8-963BE6D98A0F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E9-4918-9D3A-2574361E9B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A222C1-C004-410B-A52D-E9AA077CE47C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E9-4918-9D3A-2574361E9B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69A05A-CAC8-4CA9-BCF6-18F0422A961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E9-4918-9D3A-2574361E9B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F750A1-EAC8-479F-9052-1B18065874F7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E9-4918-9D3A-2574361E9B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C95C32E-A18C-496E-AB0C-4A7F6B6317A2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E9-4918-9D3A-2574361E9B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2BA1D4-9E0B-49EF-9A4D-A6F4CDCBA335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E9-4918-9D3A-2574361E9B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График_сжато!$Q$3:$Q$170</c:f>
              <c:multiLvlStrCache>
                <c:ptCount val="16"/>
                <c:lvl>
                  <c:pt idx="0">
                    <c:v>Клюев И. Н.</c:v>
                  </c:pt>
                  <c:pt idx="1">
                    <c:v>Князева А. Д.</c:v>
                  </c:pt>
                  <c:pt idx="2">
                    <c:v>Федорова П. Р.</c:v>
                  </c:pt>
                  <c:pt idx="3">
                    <c:v>Гаврилов М. Р.</c:v>
                  </c:pt>
                  <c:pt idx="4">
                    <c:v>Золотов А. И.</c:v>
                  </c:pt>
                  <c:pt idx="5">
                    <c:v>Орлова А. М.</c:v>
                  </c:pt>
                  <c:pt idx="6">
                    <c:v>Попова С. Т.</c:v>
                  </c:pt>
                  <c:pt idx="7">
                    <c:v>Савельев М. Б.</c:v>
                  </c:pt>
                  <c:pt idx="8">
                    <c:v>Сидорова Н. Е.</c:v>
                  </c:pt>
                  <c:pt idx="9">
                    <c:v>Смирнов М. Я.</c:v>
                  </c:pt>
                  <c:pt idx="10">
                    <c:v>Григорьева Л. Г.</c:v>
                  </c:pt>
                  <c:pt idx="11">
                    <c:v>Евсеева В. Д.</c:v>
                  </c:pt>
                  <c:pt idx="12">
                    <c:v>Ершова А. М.</c:v>
                  </c:pt>
                  <c:pt idx="13">
                    <c:v>Иванова А. М.</c:v>
                  </c:pt>
                  <c:pt idx="14">
                    <c:v>Игнатьева М. Л.</c:v>
                  </c:pt>
                  <c:pt idx="15">
                    <c:v>Кондратова С. А.</c:v>
                  </c:pt>
                </c:lvl>
                <c:lvl>
                  <c:pt idx="0">
                    <c:v>ГМО</c:v>
                  </c:pt>
                  <c:pt idx="3">
                    <c:v>ОТК</c:v>
                  </c:pt>
                  <c:pt idx="10">
                    <c:v>ПДО</c:v>
                  </c:pt>
                </c:lvl>
              </c:multiLvlStrCache>
            </c:multiLvlStrRef>
          </c:cat>
          <c:val>
            <c:numRef>
              <c:f>График_сжато!$Q$3:$Q$170</c:f>
              <c:numCache>
                <c:formatCode>General</c:formatCode>
                <c:ptCount val="16"/>
                <c:pt idx="0">
                  <c:v>18</c:v>
                </c:pt>
                <c:pt idx="1">
                  <c:v>15</c:v>
                </c:pt>
                <c:pt idx="2">
                  <c:v>20</c:v>
                </c:pt>
                <c:pt idx="3">
                  <c:v>11</c:v>
                </c:pt>
                <c:pt idx="4">
                  <c:v>11</c:v>
                </c:pt>
                <c:pt idx="5">
                  <c:v>12</c:v>
                </c:pt>
                <c:pt idx="6">
                  <c:v>12</c:v>
                </c:pt>
                <c:pt idx="7">
                  <c:v>10</c:v>
                </c:pt>
                <c:pt idx="8">
                  <c:v>6</c:v>
                </c:pt>
                <c:pt idx="9">
                  <c:v>9</c:v>
                </c:pt>
                <c:pt idx="10">
                  <c:v>12</c:v>
                </c:pt>
                <c:pt idx="11">
                  <c:v>20</c:v>
                </c:pt>
                <c:pt idx="12">
                  <c:v>12</c:v>
                </c:pt>
                <c:pt idx="13">
                  <c:v>12</c:v>
                </c:pt>
                <c:pt idx="14">
                  <c:v>18</c:v>
                </c:pt>
                <c:pt idx="15">
                  <c:v>20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График_сжато!$Q$3:$Q$170</c15:f>
                <c15:dlblRangeCache>
                  <c:ptCount val="168"/>
                  <c:pt idx="0">
                    <c:v>15.янв-
1.фев</c:v>
                  </c:pt>
                  <c:pt idx="1">
                    <c:v>15.фев-
1.мар</c:v>
                  </c:pt>
                  <c:pt idx="2">
                    <c:v>1.сен-
20.сен</c:v>
                  </c:pt>
                  <c:pt idx="3">
                    <c:v>8.фев-
18.фев</c:v>
                  </c:pt>
                  <c:pt idx="4">
                    <c:v>17.фев-
27.фев</c:v>
                  </c:pt>
                  <c:pt idx="5">
                    <c:v>9.сен-
20.сен</c:v>
                  </c:pt>
                  <c:pt idx="6">
                    <c:v>10.янв-
21.янв</c:v>
                  </c:pt>
                  <c:pt idx="7">
                    <c:v>10.янв-
19.янв</c:v>
                  </c:pt>
                  <c:pt idx="8">
                    <c:v>10.фев-
15.фев</c:v>
                  </c:pt>
                  <c:pt idx="9">
                    <c:v>10.янв-
18.янв</c:v>
                  </c:pt>
                  <c:pt idx="10">
                    <c:v>9.фев-
20.фев</c:v>
                  </c:pt>
                  <c:pt idx="11">
                    <c:v>2.фев-
21.фев</c:v>
                  </c:pt>
                  <c:pt idx="12">
                    <c:v>10.янв-
21.янв</c:v>
                  </c:pt>
                  <c:pt idx="13">
                    <c:v>9.сен-
20.сен</c:v>
                  </c:pt>
                  <c:pt idx="14">
                    <c:v>1.июл-
18.июл</c:v>
                  </c:pt>
                  <c:pt idx="15">
                    <c:v>1.апр-
20.апр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CE9-4918-9D3A-2574361E9B88}"/>
            </c:ext>
          </c:extLst>
        </c:ser>
        <c:ser>
          <c:idx val="2"/>
          <c:order val="2"/>
          <c:tx>
            <c:strRef>
              <c:f>График_сжато!$Q$3:$Q$170</c:f>
              <c:strCache>
                <c:ptCount val="1"/>
                <c:pt idx="0">
                  <c:v>промежуток1 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График_сжато!$Q$3:$Q$170</c:f>
              <c:multiLvlStrCache>
                <c:ptCount val="16"/>
                <c:lvl>
                  <c:pt idx="0">
                    <c:v>Клюев И. Н.</c:v>
                  </c:pt>
                  <c:pt idx="1">
                    <c:v>Князева А. Д.</c:v>
                  </c:pt>
                  <c:pt idx="2">
                    <c:v>Федорова П. Р.</c:v>
                  </c:pt>
                  <c:pt idx="3">
                    <c:v>Гаврилов М. Р.</c:v>
                  </c:pt>
                  <c:pt idx="4">
                    <c:v>Золотов А. И.</c:v>
                  </c:pt>
                  <c:pt idx="5">
                    <c:v>Орлова А. М.</c:v>
                  </c:pt>
                  <c:pt idx="6">
                    <c:v>Попова С. Т.</c:v>
                  </c:pt>
                  <c:pt idx="7">
                    <c:v>Савельев М. Б.</c:v>
                  </c:pt>
                  <c:pt idx="8">
                    <c:v>Сидорова Н. Е.</c:v>
                  </c:pt>
                  <c:pt idx="9">
                    <c:v>Смирнов М. Я.</c:v>
                  </c:pt>
                  <c:pt idx="10">
                    <c:v>Григорьева Л. Г.</c:v>
                  </c:pt>
                  <c:pt idx="11">
                    <c:v>Евсеева В. Д.</c:v>
                  </c:pt>
                  <c:pt idx="12">
                    <c:v>Ершова А. М.</c:v>
                  </c:pt>
                  <c:pt idx="13">
                    <c:v>Иванова А. М.</c:v>
                  </c:pt>
                  <c:pt idx="14">
                    <c:v>Игнатьева М. Л.</c:v>
                  </c:pt>
                  <c:pt idx="15">
                    <c:v>Кондратова С. А.</c:v>
                  </c:pt>
                </c:lvl>
                <c:lvl>
                  <c:pt idx="0">
                    <c:v>ГМО</c:v>
                  </c:pt>
                  <c:pt idx="3">
                    <c:v>ОТК</c:v>
                  </c:pt>
                  <c:pt idx="10">
                    <c:v>ПДО</c:v>
                  </c:pt>
                </c:lvl>
              </c:multiLvlStrCache>
            </c:multiLvlStrRef>
          </c:cat>
          <c:val>
            <c:numRef>
              <c:f>График_сжато!$Q$3:$Q$170</c:f>
              <c:numCache>
                <c:formatCode>General</c:formatCode>
                <c:ptCount val="16"/>
                <c:pt idx="0">
                  <c:v>0</c:v>
                </c:pt>
                <c:pt idx="1">
                  <c:v>152</c:v>
                </c:pt>
                <c:pt idx="2">
                  <c:v>0</c:v>
                </c:pt>
                <c:pt idx="3">
                  <c:v>74</c:v>
                </c:pt>
                <c:pt idx="4">
                  <c:v>267</c:v>
                </c:pt>
                <c:pt idx="5">
                  <c:v>0</c:v>
                </c:pt>
                <c:pt idx="6">
                  <c:v>130</c:v>
                </c:pt>
                <c:pt idx="7">
                  <c:v>12</c:v>
                </c:pt>
                <c:pt idx="8">
                  <c:v>0</c:v>
                </c:pt>
                <c:pt idx="9">
                  <c:v>41</c:v>
                </c:pt>
                <c:pt idx="10">
                  <c:v>167</c:v>
                </c:pt>
                <c:pt idx="11">
                  <c:v>160</c:v>
                </c:pt>
                <c:pt idx="12">
                  <c:v>0</c:v>
                </c:pt>
                <c:pt idx="13">
                  <c:v>0</c:v>
                </c:pt>
                <c:pt idx="14">
                  <c:v>50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E9-4918-9D3A-2574361E9B88}"/>
            </c:ext>
          </c:extLst>
        </c:ser>
        <c:ser>
          <c:idx val="3"/>
          <c:order val="3"/>
          <c:tx>
            <c:strRef>
              <c:f>График_сжато!$Q$3:$Q$170</c:f>
              <c:strCache>
                <c:ptCount val="1"/>
                <c:pt idx="0">
                  <c:v>дней2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BCE9-4918-9D3A-2574361E9B8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BCE9-4918-9D3A-2574361E9B88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BCE9-4918-9D3A-2574361E9B88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BCE9-4918-9D3A-2574361E9B88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BCE9-4918-9D3A-2574361E9B88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BCE9-4918-9D3A-2574361E9B88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BCE9-4918-9D3A-2574361E9B8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51DCD2A6-E90B-48A8-B068-53841D7C584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CE9-4918-9D3A-2574361E9B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4F9E61-ACC3-4A29-B8BC-CD37C9E5D17A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E9-4918-9D3A-2574361E9B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EF3BE6-5623-4198-B8B8-FF834453B56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BCE9-4918-9D3A-2574361E9B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5B91B5-2A6F-4083-B4C4-93F5F006A8B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E9-4918-9D3A-2574361E9B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9B3582-EFA5-479C-9746-69F4F4F8C508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E9-4918-9D3A-2574361E9B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0D062D-38F2-4C3F-A3DB-C41A32A1441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BCE9-4918-9D3A-2574361E9B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B615B06-D745-4E26-8709-B40506BE56DC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E9-4918-9D3A-2574361E9B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339849-CA9D-4D0F-9D54-3ADF7C0FC41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E9-4918-9D3A-2574361E9B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585326-55BD-404A-A0A9-1CD9DAA2164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BCE9-4918-9D3A-2574361E9B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2FB4C2-54B7-4FA1-BE4E-3964D5C815F1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E9-4918-9D3A-2574361E9B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A7319B-41E3-4182-BEC7-F0875521B07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E9-4918-9D3A-2574361E9B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32A5F7-D7DF-4361-8EC4-01E9103BBCF1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E9-4918-9D3A-2574361E9B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1EE2E9-6940-4593-86BC-909D1309863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BCE9-4918-9D3A-2574361E9B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30F6383-2767-42D2-AF37-C7A89A121BE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BCE9-4918-9D3A-2574361E9B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4EFCB58-8877-48AF-A7AD-8E8737E9C986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E9-4918-9D3A-2574361E9B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65663C-0BD3-4DD8-8A64-626C92342E4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BCE9-4918-9D3A-2574361E9B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График_сжато!$Q$3:$Q$170</c:f>
              <c:multiLvlStrCache>
                <c:ptCount val="16"/>
                <c:lvl>
                  <c:pt idx="0">
                    <c:v>Клюев И. Н.</c:v>
                  </c:pt>
                  <c:pt idx="1">
                    <c:v>Князева А. Д.</c:v>
                  </c:pt>
                  <c:pt idx="2">
                    <c:v>Федорова П. Р.</c:v>
                  </c:pt>
                  <c:pt idx="3">
                    <c:v>Гаврилов М. Р.</c:v>
                  </c:pt>
                  <c:pt idx="4">
                    <c:v>Золотов А. И.</c:v>
                  </c:pt>
                  <c:pt idx="5">
                    <c:v>Орлова А. М.</c:v>
                  </c:pt>
                  <c:pt idx="6">
                    <c:v>Попова С. Т.</c:v>
                  </c:pt>
                  <c:pt idx="7">
                    <c:v>Савельев М. Б.</c:v>
                  </c:pt>
                  <c:pt idx="8">
                    <c:v>Сидорова Н. Е.</c:v>
                  </c:pt>
                  <c:pt idx="9">
                    <c:v>Смирнов М. Я.</c:v>
                  </c:pt>
                  <c:pt idx="10">
                    <c:v>Григорьева Л. Г.</c:v>
                  </c:pt>
                  <c:pt idx="11">
                    <c:v>Евсеева В. Д.</c:v>
                  </c:pt>
                  <c:pt idx="12">
                    <c:v>Ершова А. М.</c:v>
                  </c:pt>
                  <c:pt idx="13">
                    <c:v>Иванова А. М.</c:v>
                  </c:pt>
                  <c:pt idx="14">
                    <c:v>Игнатьева М. Л.</c:v>
                  </c:pt>
                  <c:pt idx="15">
                    <c:v>Кондратова С. А.</c:v>
                  </c:pt>
                </c:lvl>
                <c:lvl>
                  <c:pt idx="0">
                    <c:v>ГМО</c:v>
                  </c:pt>
                  <c:pt idx="3">
                    <c:v>ОТК</c:v>
                  </c:pt>
                  <c:pt idx="10">
                    <c:v>ПДО</c:v>
                  </c:pt>
                </c:lvl>
              </c:multiLvlStrCache>
            </c:multiLvlStrRef>
          </c:cat>
          <c:val>
            <c:numRef>
              <c:f>График_сжато!$Q$3:$Q$170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0</c:v>
                </c:pt>
                <c:pt idx="3">
                  <c:v>12</c:v>
                </c:pt>
                <c:pt idx="4">
                  <c:v>6</c:v>
                </c:pt>
                <c:pt idx="5">
                  <c:v>0</c:v>
                </c:pt>
                <c:pt idx="6">
                  <c:v>21</c:v>
                </c:pt>
                <c:pt idx="7">
                  <c:v>3</c:v>
                </c:pt>
                <c:pt idx="8">
                  <c:v>0</c:v>
                </c:pt>
                <c:pt idx="9">
                  <c:v>16</c:v>
                </c:pt>
                <c:pt idx="10">
                  <c:v>10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График_сжато!$R$3:$R$170</c15:f>
                <c15:dlblRangeCache>
                  <c:ptCount val="168"/>
                  <c:pt idx="1">
                    <c:v>1.авг-
10.авг</c:v>
                  </c:pt>
                  <c:pt idx="3">
                    <c:v>4.май-
15.май</c:v>
                  </c:pt>
                  <c:pt idx="4">
                    <c:v>22.ноя-
27.ноя</c:v>
                  </c:pt>
                  <c:pt idx="6">
                    <c:v>1.июн-
21.июн</c:v>
                  </c:pt>
                  <c:pt idx="7">
                    <c:v>1.фев-
3.фев</c:v>
                  </c:pt>
                  <c:pt idx="9">
                    <c:v>1.мар-
16.мар</c:v>
                  </c:pt>
                  <c:pt idx="10">
                    <c:v>7.авг-
16.авг</c:v>
                  </c:pt>
                  <c:pt idx="11">
                    <c:v>1.авг-
15.авг</c:v>
                  </c:pt>
                  <c:pt idx="14">
                    <c:v>7.сен-
11.сен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CE9-4918-9D3A-2574361E9B88}"/>
            </c:ext>
          </c:extLst>
        </c:ser>
        <c:ser>
          <c:idx val="4"/>
          <c:order val="4"/>
          <c:tx>
            <c:strRef>
              <c:f>График_сжато!$Q$3:$Q$170</c:f>
              <c:strCache>
                <c:ptCount val="1"/>
                <c:pt idx="0">
                  <c:v>промежуток2 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График_сжато!$Q$3:$Q$170</c:f>
              <c:multiLvlStrCache>
                <c:ptCount val="16"/>
                <c:lvl>
                  <c:pt idx="0">
                    <c:v>Клюев И. Н.</c:v>
                  </c:pt>
                  <c:pt idx="1">
                    <c:v>Князева А. Д.</c:v>
                  </c:pt>
                  <c:pt idx="2">
                    <c:v>Федорова П. Р.</c:v>
                  </c:pt>
                  <c:pt idx="3">
                    <c:v>Гаврилов М. Р.</c:v>
                  </c:pt>
                  <c:pt idx="4">
                    <c:v>Золотов А. И.</c:v>
                  </c:pt>
                  <c:pt idx="5">
                    <c:v>Орлова А. М.</c:v>
                  </c:pt>
                  <c:pt idx="6">
                    <c:v>Попова С. Т.</c:v>
                  </c:pt>
                  <c:pt idx="7">
                    <c:v>Савельев М. Б.</c:v>
                  </c:pt>
                  <c:pt idx="8">
                    <c:v>Сидорова Н. Е.</c:v>
                  </c:pt>
                  <c:pt idx="9">
                    <c:v>Смирнов М. Я.</c:v>
                  </c:pt>
                  <c:pt idx="10">
                    <c:v>Григорьева Л. Г.</c:v>
                  </c:pt>
                  <c:pt idx="11">
                    <c:v>Евсеева В. Д.</c:v>
                  </c:pt>
                  <c:pt idx="12">
                    <c:v>Ершова А. М.</c:v>
                  </c:pt>
                  <c:pt idx="13">
                    <c:v>Иванова А. М.</c:v>
                  </c:pt>
                  <c:pt idx="14">
                    <c:v>Игнатьева М. Л.</c:v>
                  </c:pt>
                  <c:pt idx="15">
                    <c:v>Кондратова С. А.</c:v>
                  </c:pt>
                </c:lvl>
                <c:lvl>
                  <c:pt idx="0">
                    <c:v>ГМО</c:v>
                  </c:pt>
                  <c:pt idx="3">
                    <c:v>ОТК</c:v>
                  </c:pt>
                  <c:pt idx="10">
                    <c:v>ПДО</c:v>
                  </c:pt>
                </c:lvl>
              </c:multiLvlStrCache>
            </c:multiLvlStrRef>
          </c:cat>
          <c:val>
            <c:numRef>
              <c:f>График_сжато!$Q$3:$Q$170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E9-4918-9D3A-2574361E9B88}"/>
            </c:ext>
          </c:extLst>
        </c:ser>
        <c:ser>
          <c:idx val="5"/>
          <c:order val="5"/>
          <c:tx>
            <c:strRef>
              <c:f>График_сжато!$Q$3:$Q$170</c:f>
              <c:strCache>
                <c:ptCount val="1"/>
                <c:pt idx="0">
                  <c:v>дней3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BCE9-4918-9D3A-2574361E9B8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BCE9-4918-9D3A-2574361E9B8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BCE9-4918-9D3A-2574361E9B8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BCE9-4918-9D3A-2574361E9B88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BCE9-4918-9D3A-2574361E9B88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BCE9-4918-9D3A-2574361E9B88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BCE9-4918-9D3A-2574361E9B88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BCE9-4918-9D3A-2574361E9B88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BCE9-4918-9D3A-2574361E9B88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BCE9-4918-9D3A-2574361E9B88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BCE9-4918-9D3A-2574361E9B88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BCE9-4918-9D3A-2574361E9B88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BCE9-4918-9D3A-2574361E9B88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BCE9-4918-9D3A-2574361E9B8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D39CF57-9C48-439A-92D0-E8B64F30B7C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BCE9-4918-9D3A-2574361E9B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D2F433-5C9E-4C33-AACA-2B0B6D9EA3B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BCE9-4918-9D3A-2574361E9B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781537-750E-4BA8-B8F0-D2020852921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BCE9-4918-9D3A-2574361E9B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B1A50C-5F30-4F55-B444-179C6E0B72FD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E9-4918-9D3A-2574361E9B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D5E439-327F-4351-B885-D4C03F75E05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BCE9-4918-9D3A-2574361E9B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130B036-E6D2-4F58-A2DE-7CA4778B2F3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BCE9-4918-9D3A-2574361E9B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D36C4A-0E8E-4EE0-ACCC-B1243B3E608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BCE9-4918-9D3A-2574361E9B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70DCA4-29A3-4154-A5D3-651945009F8C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E9-4918-9D3A-2574361E9B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05BF22-9D91-4C3E-B52F-4447EF2DAEE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BCE9-4918-9D3A-2574361E9B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59E0F8-B570-4834-B004-7546CCB8FF3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BCE9-4918-9D3A-2574361E9B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B5B5C72-602B-482C-9A08-DC09164CA3A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BCE9-4918-9D3A-2574361E9B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D2E2BA-7D32-460B-8D01-30792D28F5D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BCE9-4918-9D3A-2574361E9B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C90BD7-8E74-4773-B89A-23949514AF3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BCE9-4918-9D3A-2574361E9B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0E7F72-F3CE-4EDB-8359-734E6C18CCE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BCE9-4918-9D3A-2574361E9B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D1B8FD-D844-4D53-9AD2-296A3AB7F44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BCE9-4918-9D3A-2574361E9B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862429D-6482-4033-BCED-D0B4A2819AF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BCE9-4918-9D3A-2574361E9B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График_сжато!$Q$3:$Q$170</c:f>
              <c:multiLvlStrCache>
                <c:ptCount val="16"/>
                <c:lvl>
                  <c:pt idx="0">
                    <c:v>Клюев И. Н.</c:v>
                  </c:pt>
                  <c:pt idx="1">
                    <c:v>Князева А. Д.</c:v>
                  </c:pt>
                  <c:pt idx="2">
                    <c:v>Федорова П. Р.</c:v>
                  </c:pt>
                  <c:pt idx="3">
                    <c:v>Гаврилов М. Р.</c:v>
                  </c:pt>
                  <c:pt idx="4">
                    <c:v>Золотов А. И.</c:v>
                  </c:pt>
                  <c:pt idx="5">
                    <c:v>Орлова А. М.</c:v>
                  </c:pt>
                  <c:pt idx="6">
                    <c:v>Попова С. Т.</c:v>
                  </c:pt>
                  <c:pt idx="7">
                    <c:v>Савельев М. Б.</c:v>
                  </c:pt>
                  <c:pt idx="8">
                    <c:v>Сидорова Н. Е.</c:v>
                  </c:pt>
                  <c:pt idx="9">
                    <c:v>Смирнов М. Я.</c:v>
                  </c:pt>
                  <c:pt idx="10">
                    <c:v>Григорьева Л. Г.</c:v>
                  </c:pt>
                  <c:pt idx="11">
                    <c:v>Евсеева В. Д.</c:v>
                  </c:pt>
                  <c:pt idx="12">
                    <c:v>Ершова А. М.</c:v>
                  </c:pt>
                  <c:pt idx="13">
                    <c:v>Иванова А. М.</c:v>
                  </c:pt>
                  <c:pt idx="14">
                    <c:v>Игнатьева М. Л.</c:v>
                  </c:pt>
                  <c:pt idx="15">
                    <c:v>Кондратова С. А.</c:v>
                  </c:pt>
                </c:lvl>
                <c:lvl>
                  <c:pt idx="0">
                    <c:v>ГМО</c:v>
                  </c:pt>
                  <c:pt idx="3">
                    <c:v>ОТК</c:v>
                  </c:pt>
                  <c:pt idx="10">
                    <c:v>ПДО</c:v>
                  </c:pt>
                </c:lvl>
              </c:multiLvlStrCache>
            </c:multiLvlStrRef>
          </c:cat>
          <c:val>
            <c:numRef>
              <c:f>График_сжато!$Q$3:$Q$170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График_сжато!$S$3:$S$170</c15:f>
                <c15:dlblRangeCache>
                  <c:ptCount val="168"/>
                  <c:pt idx="3">
                    <c:v>1.июл-
10.июл</c:v>
                  </c:pt>
                  <c:pt idx="7">
                    <c:v>5.мар-
15.мар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CE9-4918-9D3A-2574361E9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05320128"/>
        <c:axId val="1005320456"/>
      </c:barChart>
      <c:catAx>
        <c:axId val="10053201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20456"/>
        <c:crosses val="autoZero"/>
        <c:auto val="1"/>
        <c:lblAlgn val="ctr"/>
        <c:lblOffset val="100"/>
        <c:noMultiLvlLbl val="0"/>
      </c:catAx>
      <c:valAx>
        <c:axId val="1005320456"/>
        <c:scaling>
          <c:orientation val="minMax"/>
          <c:min val="44562"/>
        </c:scaling>
        <c:delete val="0"/>
        <c:axPos val="t"/>
        <c:numFmt formatCode="m/d/yyyy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20128"/>
        <c:crosses val="autoZero"/>
        <c:crossBetween val="between"/>
        <c:majorUnit val="36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</xdr:row>
          <xdr:rowOff>95250</xdr:rowOff>
        </xdr:from>
        <xdr:to>
          <xdr:col>5</xdr:col>
          <xdr:colOff>409575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266700</xdr:colOff>
      <xdr:row>15</xdr:row>
      <xdr:rowOff>63500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16</xdr:col>
      <xdr:colOff>38100</xdr:colOff>
      <xdr:row>30</xdr:row>
      <xdr:rowOff>63500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219075</xdr:colOff>
      <xdr:row>16</xdr:row>
      <xdr:rowOff>0</xdr:rowOff>
    </xdr:from>
    <xdr:to>
      <xdr:col>19</xdr:col>
      <xdr:colOff>219075</xdr:colOff>
      <xdr:row>30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Отдел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дел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25025" y="3048000"/>
              <a:ext cx="18288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1</xdr:col>
      <xdr:colOff>28575</xdr:colOff>
      <xdr:row>31</xdr:row>
      <xdr:rowOff>19049</xdr:rowOff>
    </xdr:from>
    <xdr:to>
      <xdr:col>19</xdr:col>
      <xdr:colOff>238125</xdr:colOff>
      <xdr:row>58</xdr:row>
      <xdr:rowOff>114300</xdr:rowOff>
    </xdr:to>
    <xdr:graphicFrame macro="">
      <xdr:nvGraphicFramePr>
        <xdr:cNvPr id="7" name="Диаграмма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19</xdr:col>
      <xdr:colOff>409575</xdr:colOff>
      <xdr:row>31</xdr:row>
      <xdr:rowOff>9525</xdr:rowOff>
    </xdr:from>
    <xdr:to>
      <xdr:col>22</xdr:col>
      <xdr:colOff>409575</xdr:colOff>
      <xdr:row>44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Отдел 2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дел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4325" y="5915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561975</xdr:colOff>
      <xdr:row>30</xdr:row>
      <xdr:rowOff>180974</xdr:rowOff>
    </xdr:from>
    <xdr:to>
      <xdr:col>25</xdr:col>
      <xdr:colOff>561975</xdr:colOff>
      <xdr:row>52</xdr:row>
      <xdr:rowOff>19049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ФИО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ИО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25525" y="5895974"/>
              <a:ext cx="1828800" cy="4029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ksei" refreshedDate="44967.993130787036" createdVersion="5" refreshedVersion="6" minRefreshableVersion="3" recordCount="0" supportSubquery="1" supportAdvancedDrill="1" xr:uid="{00000000-000A-0000-FFFF-FFFF9E010000}">
  <cacheSource type="external" connectionId="1"/>
  <cacheFields count="8">
    <cacheField name="[исходная_даты].[ФИО].[ФИО]" caption="ФИО" numFmtId="0" hierarchy="19" level="1">
      <sharedItems count="16">
        <s v="Клюев И. Н."/>
        <s v="Князева А. Д."/>
        <s v="Федорова П. Р."/>
        <s v="Гаврилов М. Р."/>
        <s v="Золотов А. И."/>
        <s v="Орлова А. М."/>
        <s v="Попова С. Т."/>
        <s v="Савельев М. Б."/>
        <s v="Сидорова Н. Е."/>
        <s v="Смирнов М. Я."/>
        <s v="Григорьева Л. Г."/>
        <s v="Евсеева В. Д."/>
        <s v="Ершова А. М."/>
        <s v="Иванова А. М."/>
        <s v="Игнатьева М. Л."/>
        <s v="Кондратова С. А."/>
      </sharedItems>
    </cacheField>
    <cacheField name="[Measures].[Сумма по столбцу дата нач.1]" caption="Сумма по столбцу дата нач.1" numFmtId="0" hierarchy="53" level="32767"/>
    <cacheField name="[Measures].[Сумма по столбцу дней1]" caption="Сумма по столбцу дней1" numFmtId="0" hierarchy="54" level="32767"/>
    <cacheField name="[Measures].[Сумма по столбцу промежуток1]" caption="Сумма по столбцу промежуток1" numFmtId="0" hierarchy="55" level="32767"/>
    <cacheField name="[Measures].[Сумма по столбцу дней2]" caption="Сумма по столбцу дней2" numFmtId="0" hierarchy="56" level="32767"/>
    <cacheField name="[Measures].[Сумма по столбцу промежуток2]" caption="Сумма по столбцу промежуток2" numFmtId="0" hierarchy="57" level="32767"/>
    <cacheField name="[Measures].[Сумма по столбцу дней3]" caption="Сумма по столбцу дней3" numFmtId="0" hierarchy="58" level="32767"/>
    <cacheField name="[исходная_даты].[Отдел].[Отдел]" caption="Отдел" numFmtId="0" hierarchy="13" level="1">
      <sharedItems count="3">
        <s v="ГМО"/>
        <s v="ОТК"/>
        <s v="ПДО"/>
      </sharedItems>
    </cacheField>
  </cacheFields>
  <cacheHierarchies count="62">
    <cacheHierarchy uniqueName="[выходные].[выходной]" caption="выходной" attribute="1" defaultMemberUniqueName="[выходные].[выходной].[All]" allUniqueName="[выходные].[выходной].[All]" dimensionUniqueName="[выходные]" displayFolder="" count="0" memberValueDatatype="20" unbalanced="0"/>
    <cacheHierarchy uniqueName="[выходные].[Дата]" caption="Дата" attribute="1" time="1" defaultMemberUniqueName="[выходные].[Дата].[All]" allUniqueName="[выходные].[Дата].[All]" dimensionUniqueName="[выходные]" displayFolder="" count="0" memberValueDatatype="7" unbalanced="0"/>
    <cacheHierarchy uniqueName="[исходная].[Отдел]" caption="Отдел" attribute="1" defaultMemberUniqueName="[исходная].[Отдел].[All]" allUniqueName="[исходная].[Отдел].[All]" dimensionUniqueName="[исходная]" displayFolder="" count="0" memberValueDatatype="130" unbalanced="0"/>
    <cacheHierarchy uniqueName="[исходная_даты].[дата нач.1]" caption="дата нач.1" attribute="1" defaultMemberUniqueName="[исходная_даты].[дата нач.1].[All]" allUniqueName="[исходная_даты].[дата нач.1].[All]" dimensionUniqueName="[исходная_даты]" displayFolder="" count="0" memberValueDatatype="20" unbalanced="0"/>
    <cacheHierarchy uniqueName="[исходная_даты].[дата нач.2]" caption="дата нач.2" attribute="1" defaultMemberUniqueName="[исходная_даты].[дата нач.2].[All]" allUniqueName="[исходная_даты].[дата нач.2].[All]" dimensionUniqueName="[исходная_даты]" displayFolder="" count="0" memberValueDatatype="20" unbalanced="0"/>
    <cacheHierarchy uniqueName="[исходная_даты].[дата нач.3]" caption="дата нач.3" attribute="1" defaultMemberUniqueName="[исходная_даты].[дата нач.3].[All]" allUniqueName="[исходная_даты].[дата нач.3].[All]" dimensionUniqueName="[исходная_даты]" displayFolder="" count="0" memberValueDatatype="20" unbalanced="0"/>
    <cacheHierarchy uniqueName="[исходная_даты].[дней1]" caption="дней1" attribute="1" defaultMemberUniqueName="[исходная_даты].[дней1].[All]" allUniqueName="[исходная_даты].[дней1].[All]" dimensionUniqueName="[исходная_даты]" displayFolder="" count="0" memberValueDatatype="20" unbalanced="0"/>
    <cacheHierarchy uniqueName="[исходная_даты].[дней2]" caption="дней2" attribute="1" defaultMemberUniqueName="[исходная_даты].[дней2].[All]" allUniqueName="[исходная_даты].[дней2].[All]" dimensionUniqueName="[исходная_даты]" displayFolder="" count="0" memberValueDatatype="20" unbalanced="0"/>
    <cacheHierarchy uniqueName="[исходная_даты].[дней3]" caption="дней3" attribute="1" defaultMemberUniqueName="[исходная_даты].[дней3].[All]" allUniqueName="[исходная_даты].[дней3].[All]" dimensionUniqueName="[исходная_даты]" displayFolder="" count="0" memberValueDatatype="20" unbalanced="0"/>
    <cacheHierarchy uniqueName="[исходная_даты].[Должность]" caption="Должность" attribute="1" defaultMemberUniqueName="[исходная_даты].[Должность].[All]" allUniqueName="[исходная_даты].[Должность].[All]" dimensionUniqueName="[исходная_даты]" displayFolder="" count="0" memberValueDatatype="130" unbalanced="0"/>
    <cacheHierarchy uniqueName="[исходная_даты].[конец1]" caption="конец1" attribute="1" defaultMemberUniqueName="[исходная_даты].[конец1].[All]" allUniqueName="[исходная_даты].[конец1].[All]" dimensionUniqueName="[исходная_даты]" displayFolder="" count="0" memberValueDatatype="20" unbalanced="0"/>
    <cacheHierarchy uniqueName="[исходная_даты].[конец2]" caption="конец2" attribute="1" defaultMemberUniqueName="[исходная_даты].[конец2].[All]" allUniqueName="[исходная_даты].[конец2].[All]" dimensionUniqueName="[исходная_даты]" displayFolder="" count="0" memberValueDatatype="20" unbalanced="0"/>
    <cacheHierarchy uniqueName="[исходная_даты].[конец3]" caption="конец3" attribute="1" defaultMemberUniqueName="[исходная_даты].[конец3].[All]" allUniqueName="[исходная_даты].[конец3].[All]" dimensionUniqueName="[исходная_даты]" displayFolder="" count="0" memberValueDatatype="20" unbalanced="0"/>
    <cacheHierarchy uniqueName="[исходная_даты].[Отдел]" caption="Отдел" attribute="1" defaultMemberUniqueName="[исходная_даты].[Отдел].[All]" allUniqueName="[исходная_даты].[Отдел].[All]" dimensionUniqueName="[исходная_даты]" displayFolder="" count="2" memberValueDatatype="130" unbalanced="0">
      <fieldsUsage count="2">
        <fieldUsage x="-1"/>
        <fieldUsage x="7"/>
      </fieldsUsage>
    </cacheHierarchy>
    <cacheHierarchy uniqueName="[исходная_даты].[период1]" caption="период1" attribute="1" defaultMemberUniqueName="[исходная_даты].[период1].[All]" allUniqueName="[исходная_даты].[период1].[All]" dimensionUniqueName="[исходная_даты]" displayFolder="" count="0" memberValueDatatype="130" unbalanced="0"/>
    <cacheHierarchy uniqueName="[исходная_даты].[период2]" caption="период2" attribute="1" defaultMemberUniqueName="[исходная_даты].[период2].[All]" allUniqueName="[исходная_даты].[период2].[All]" dimensionUniqueName="[исходная_даты]" displayFolder="" count="0" memberValueDatatype="130" unbalanced="0"/>
    <cacheHierarchy uniqueName="[исходная_даты].[период3]" caption="период3" attribute="1" defaultMemberUniqueName="[исходная_даты].[период3].[All]" allUniqueName="[исходная_даты].[период3].[All]" dimensionUniqueName="[исходная_даты]" displayFolder="" count="0" memberValueDatatype="130" unbalanced="0"/>
    <cacheHierarchy uniqueName="[исходная_даты].[промежуток1]" caption="промежуток1" attribute="1" defaultMemberUniqueName="[исходная_даты].[промежуток1].[All]" allUniqueName="[исходная_даты].[промежуток1].[All]" dimensionUniqueName="[исходная_даты]" displayFolder="" count="0" memberValueDatatype="20" unbalanced="0"/>
    <cacheHierarchy uniqueName="[исходная_даты].[промежуток2]" caption="промежуток2" attribute="1" defaultMemberUniqueName="[исходная_даты].[промежуток2].[All]" allUniqueName="[исходная_даты].[промежуток2].[All]" dimensionUniqueName="[исходная_даты]" displayFolder="" count="0" memberValueDatatype="20" unbalanced="0"/>
    <cacheHierarchy uniqueName="[исходная_даты].[ФИО]" caption="ФИО" attribute="1" defaultMemberUniqueName="[исходная_даты].[ФИО].[All]" allUniqueName="[исходная_даты].[ФИО].[All]" dimensionUniqueName="[исходная_даты]" displayFolder="" count="2" memberValueDatatype="130" unbalanced="0">
      <fieldsUsage count="2">
        <fieldUsage x="-1"/>
        <fieldUsage x="0"/>
      </fieldsUsage>
    </cacheHierarchy>
    <cacheHierarchy uniqueName="[исходная_полная].[Count]" caption="Count" attribute="1" defaultMemberUniqueName="[исходная_полная].[Count].[All]" allUniqueName="[исходная_полная].[Count].[All]" dimensionUniqueName="[исходная_полная]" displayFolder="" count="0" memberValueDatatype="20" unbalanced="0"/>
    <cacheHierarchy uniqueName="[исходная_полная].[выходные]" caption="выходные" attribute="1" defaultMemberUniqueName="[исходная_полная].[выходные].[All]" allUniqueName="[исходная_полная].[выходные].[All]" dimensionUniqueName="[исходная_полная]" displayFolder="" count="0" memberValueDatatype="20" unbalanced="0"/>
    <cacheHierarchy uniqueName="[исходная_полная].[дата]" caption="дата" attribute="1" time="1" defaultMemberUniqueName="[исходная_полная].[дата].[All]" allUniqueName="[исходная_полная].[дата].[All]" dimensionUniqueName="[исходная_полная]" displayFolder="" count="0" memberValueDatatype="7" unbalanced="0"/>
    <cacheHierarchy uniqueName="[исходная_полная].[дата (Месяц)]" caption="дата (Месяц)" attribute="1" defaultMemberUniqueName="[исходная_полная].[дата (Месяц)].[All]" allUniqueName="[исходная_полная].[дата (Месяц)].[All]" dimensionUniqueName="[исходная_полная]" displayFolder="" count="0" memberValueDatatype="130" unbalanced="0"/>
    <cacheHierarchy uniqueName="[исходная_полная].[день недели]" caption="день недели" attribute="1" defaultMemberUniqueName="[исходная_полная].[день недели].[All]" allUniqueName="[исходная_полная].[день недели].[All]" dimensionUniqueName="[исходная_полная]" displayFolder="" count="0" memberValueDatatype="20" unbalanced="0"/>
    <cacheHierarchy uniqueName="[исходная_полная].[Отдел]" caption="Отдел" attribute="1" defaultMemberUniqueName="[исходная_полная].[Отдел].[All]" allUniqueName="[исходная_полная].[Отдел].[All]" dimensionUniqueName="[исходная_полная]" displayFolder="" count="0" memberValueDatatype="130" unbalanced="0"/>
    <cacheHierarchy uniqueName="[исходная_полная].[Сумма]" caption="Сумма" attribute="1" defaultMemberUniqueName="[исходная_полная].[Сумма].[All]" allUniqueName="[исходная_полная].[Сумма].[All]" dimensionUniqueName="[исходная_полная]" displayFolder="" count="0" memberValueDatatype="5" unbalanced="0"/>
    <cacheHierarchy uniqueName="[исходная_полная].[явка]" caption="явка" attribute="1" defaultMemberUniqueName="[исходная_полная].[явка].[All]" allUniqueName="[исходная_полная].[явка].[All]" dimensionUniqueName="[исходная_полная]" displayFolder="" count="0" memberValueDatatype="5" unbalanced="0"/>
    <cacheHierarchy uniqueName="[исходная_полная  2].[выходные]" caption="выходные" attribute="1" defaultMemberUniqueName="[исходная_полная  2].[выходные].[All]" allUniqueName="[исходная_полная  2].[выходные].[All]" dimensionUniqueName="[исходная_полная  2]" displayFolder="" count="0" memberValueDatatype="20" unbalanced="0"/>
    <cacheHierarchy uniqueName="[исходная_полная  2].[дата]" caption="дата" attribute="1" time="1" defaultMemberUniqueName="[исходная_полная  2].[дата].[All]" allUniqueName="[исходная_полная  2].[дата].[All]" dimensionUniqueName="[исходная_полная  2]" displayFolder="" count="0" memberValueDatatype="7" unbalanced="0"/>
    <cacheHierarchy uniqueName="[исходная_полная  2].[дата (Месяц)]" caption="дата (Месяц)" attribute="1" defaultMemberUniqueName="[исходная_полная  2].[дата (Месяц)].[All]" allUniqueName="[исходная_полная  2].[дата (Месяц)].[All]" dimensionUniqueName="[исходная_полная  2]" displayFolder="" count="0" memberValueDatatype="130" unbalanced="0"/>
    <cacheHierarchy uniqueName="[исходная_полная  2].[день недели]" caption="день недели" attribute="1" defaultMemberUniqueName="[исходная_полная  2].[день недели].[All]" allUniqueName="[исходная_полная  2].[день недели].[All]" dimensionUniqueName="[исходная_полная  2]" displayFolder="" count="0" memberValueDatatype="20" unbalanced="0"/>
    <cacheHierarchy uniqueName="[исходная_полная  2].[Сумма]" caption="Сумма" attribute="1" defaultMemberUniqueName="[исходная_полная  2].[Сумма].[All]" allUniqueName="[исходная_полная  2].[Сумма].[All]" dimensionUniqueName="[исходная_полная  2]" displayFolder="" count="0" memberValueDatatype="5" unbalanced="0"/>
    <cacheHierarchy uniqueName="[исходная_полная  2].[Явка общая]" caption="Явка общая" attribute="1" defaultMemberUniqueName="[исходная_полная  2].[Явка общая].[All]" allUniqueName="[исходная_полная  2].[Явка общая].[All]" dimensionUniqueName="[исходная_полная  2]" displayFolder="" count="0" memberValueDatatype="5" unbalanced="0"/>
    <cacheHierarchy uniqueName="[уникальные].[Count]" caption="Count" attribute="1" defaultMemberUniqueName="[уникальные].[Count].[All]" allUniqueName="[уникальные].[Count].[All]" dimensionUniqueName="[уникальные]" displayFolder="" count="0" memberValueDatatype="20" unbalanced="0"/>
    <cacheHierarchy uniqueName="[уникальные].[Отдел]" caption="Отдел" attribute="1" defaultMemberUniqueName="[уникальные].[Отдел].[All]" allUniqueName="[уникальные].[Отдел].[All]" dimensionUniqueName="[уникальные]" displayFolder="" count="0" memberValueDatatype="130" unbalanced="0"/>
    <cacheHierarchy uniqueName="[исходная_полная].[дата (Индекс месяца)]" caption="дата (Индекс месяца)" attribute="1" defaultMemberUniqueName="[исходная_полная].[дата (Индекс месяца)].[All]" allUniqueName="[исходная_полная].[дата (Индекс месяца)].[All]" dimensionUniqueName="[исходная_полная]" displayFolder="" count="0" memberValueDatatype="20" unbalanced="0" hidden="1"/>
    <cacheHierarchy uniqueName="[исходная_полная  2].[дата (Индекс месяца)]" caption="дата (Индекс месяца)" attribute="1" defaultMemberUniqueName="[исходная_полная  2].[дата (Индекс месяца)].[All]" allUniqueName="[исходная_полная  2].[дата (Индекс месяца)].[All]" dimensionUniqueName="[исходная_полная  2]" displayFolder="" count="0" memberValueDatatype="20" unbalanced="0" hidden="1"/>
    <cacheHierarchy uniqueName="[Measures].[Строки]" caption="Строки" measure="1" displayFolder="" measureGroup="исходная" count="0"/>
    <cacheHierarchy uniqueName="[Measures].[__XL_Count исходная]" caption="__XL_Count исходная" measure="1" displayFolder="" measureGroup="исходная" count="0" hidden="1"/>
    <cacheHierarchy uniqueName="[Measures].[__XL_Count уникальные]" caption="__XL_Count уникальные" measure="1" displayFolder="" measureGroup="уникальные" count="0" hidden="1"/>
    <cacheHierarchy uniqueName="[Measures].[__XL_Count исходная_полная]" caption="__XL_Count исходная_полная" measure="1" displayFolder="" measureGroup="исходная_полная" count="0" hidden="1"/>
    <cacheHierarchy uniqueName="[Measures].[__XL_Count исходная_полная  2]" caption="__XL_Count исходная_полная  2" measure="1" displayFolder="" measureGroup="исходная_полная  2" count="0" hidden="1"/>
    <cacheHierarchy uniqueName="[Measures].[__XL_Count выходные]" caption="__XL_Count выходные" measure="1" displayFolder="" measureGroup="выходные" count="0" hidden="1"/>
    <cacheHierarchy uniqueName="[Measures].[__XL_Count исходная_даты]" caption="__XL_Count исходная_даты" measure="1" displayFolder="" measureGroup="исходная_даты" count="0" hidden="1"/>
    <cacheHierarchy uniqueName="[Measures].[__No measures defined]" caption="__No measures defined" measure="1" displayFolder="" count="0" hidden="1"/>
    <cacheHierarchy uniqueName="[Measures].[Сумма по столбцу явка]" caption="Сумма по столбцу явк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Среднее по столбцу явка]" caption="Среднее по столбцу явк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Сумма по столбцу Сумма]" caption="Сумма по столбцу Сумм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Сумма по столбцу Count]" caption="Сумма по столбцу Count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Сумма по столбцу Явка общая]" caption="Сумма по столбцу Явка общая" measure="1" displayFolder="" measureGroup="исходная_полная 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Среднее по столбцу Явка общая]" caption="Среднее по столбцу Явка общая" measure="1" displayFolder="" measureGroup="исходная_полная 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Число элементов в столбце дата нач.1]" caption="Число элементов в столбце дата нач.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дата нач.1]" caption="Сумма по столбцу дата нач.1" measure="1" displayFolder="" measureGroup="исходная_даты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дней1]" caption="Сумма по столбцу дней1" measure="1" displayFolder="" measureGroup="исходная_даты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промежуток1]" caption="Сумма по столбцу промежуток1" measure="1" displayFolder="" measureGroup="исходная_даты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Сумма по столбцу дней2]" caption="Сумма по столбцу дней2" measure="1" displayFolder="" measureGroup="исходная_даты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Сумма по столбцу промежуток2]" caption="Сумма по столбцу промежуток2" measure="1" displayFolder="" measureGroup="исходная_даты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Сумма по столбцу дней3]" caption="Сумма по столбцу дней3" measure="1" displayFolder="" measureGroup="исходная_даты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умма по столбцу дата нач.2]" caption="Сумма по столбцу дата нач.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дата нач.3]" caption="Сумма по столбцу дата нач.3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ФИО]" caption="Число элементов в столбце ФИО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measure="1" name="Measures" uniqueName="[Measures]" caption="Measures"/>
    <dimension name="выходные" uniqueName="[выходные]" caption="выходные"/>
    <dimension name="исходная" uniqueName="[исходная]" caption="исходная"/>
    <dimension name="исходная_даты" uniqueName="[исходная_даты]" caption="исходная_даты"/>
    <dimension name="исходная_полная" uniqueName="[исходная_полная]" caption="исходная_полная"/>
    <dimension name="исходная_полная  2" uniqueName="[исходная_полная  2]" caption="исходная_полная  2"/>
    <dimension name="уникальные" uniqueName="[уникальные]" caption="уникальные"/>
  </dimensions>
  <measureGroups count="6">
    <measureGroup name="выходные" caption="выходные"/>
    <measureGroup name="исходная" caption="исходная"/>
    <measureGroup name="исходная_даты" caption="исходная_даты"/>
    <measureGroup name="исходная_полная" caption="исходная_полная"/>
    <measureGroup name="исходная_полная  2" caption="исходная_полная  2"/>
    <measureGroup name="уникальные" caption="уникальные"/>
  </measureGroups>
  <maps count="9">
    <map measureGroup="0" dimension="1"/>
    <map measureGroup="1" dimension="2"/>
    <map measureGroup="2" dimension="3"/>
    <map measureGroup="3" dimension="1"/>
    <map measureGroup="3" dimension="4"/>
    <map measureGroup="3" dimension="6"/>
    <map measureGroup="4" dimension="1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ksei" refreshedDate="44967.993131481482" createdVersion="5" refreshedVersion="6" minRefreshableVersion="3" recordCount="0" supportSubquery="1" supportAdvancedDrill="1" xr:uid="{00000000-000A-0000-FFFF-FFFFA1010000}">
  <cacheSource type="external" connectionId="1"/>
  <cacheFields count="5">
    <cacheField name="[исходная_даты].[период1].[период1]" caption="период1" numFmtId="0" hierarchy="14" level="1">
      <sharedItems count="14">
        <s v="15.янв-_x000a_1.фев"/>
        <s v="15.фев-_x000a_1.мар"/>
        <s v="1.сен-_x000a_20.сен"/>
        <s v="8.фев-_x000a_18.фев"/>
        <s v="17.фев-_x000a_27.фев"/>
        <s v="9.сен-_x000a_20.сен"/>
        <s v="10.янв-_x000a_21.янв"/>
        <s v="10.янв-_x000a_19.янв"/>
        <s v="10.фев-_x000a_15.фев"/>
        <s v="10.янв-_x000a_18.янв"/>
        <s v="9.фев-_x000a_20.фев"/>
        <s v="2.фев-_x000a_21.фев"/>
        <s v="1.июл-_x000a_18.июл"/>
        <s v="1.апр-_x000a_20.апр"/>
      </sharedItems>
    </cacheField>
    <cacheField name="[исходная_даты].[период2].[период2]" caption="период2" numFmtId="0" hierarchy="15" level="1">
      <sharedItems count="10">
        <s v=""/>
        <s v="1.авг-_x000a_10.авг"/>
        <s v="4.май-_x000a_15.май"/>
        <s v="22.ноя-_x000a_27.ноя"/>
        <s v="1.июн-_x000a_21.июн"/>
        <s v="1.фев-_x000a_3.фев"/>
        <s v="1.мар-_x000a_16.мар"/>
        <s v="7.авг-_x000a_16.авг"/>
        <s v="1.авг-_x000a_15.авг"/>
        <s v="7.сен-_x000a_11.сен"/>
      </sharedItems>
    </cacheField>
    <cacheField name="[исходная_даты].[период3].[период3]" caption="период3" numFmtId="0" hierarchy="16" level="1">
      <sharedItems count="3">
        <s v=""/>
        <s v="1.июл-_x000a_10.июл"/>
        <s v="5.мар-_x000a_15.мар"/>
      </sharedItems>
    </cacheField>
    <cacheField name="[исходная_даты].[ФИО].[ФИО]" caption="ФИО" numFmtId="0" hierarchy="19" level="1">
      <sharedItems count="16">
        <s v="Клюев И. Н."/>
        <s v="Князева А. Д."/>
        <s v="Федорова П. Р."/>
        <s v="Гаврилов М. Р."/>
        <s v="Золотов А. И."/>
        <s v="Орлова А. М."/>
        <s v="Попова С. Т."/>
        <s v="Савельев М. Б."/>
        <s v="Сидорова Н. Е."/>
        <s v="Смирнов М. Я."/>
        <s v="Григорьева Л. Г."/>
        <s v="Евсеева В. Д."/>
        <s v="Ершова А. М."/>
        <s v="Иванова А. М."/>
        <s v="Игнатьева М. Л."/>
        <s v="Кондратова С. А."/>
      </sharedItems>
    </cacheField>
    <cacheField name="[исходная_даты].[Отдел].[Отдел]" caption="Отдел" numFmtId="0" hierarchy="13" level="1">
      <sharedItems count="3">
        <s v="ГМО"/>
        <s v="ОТК"/>
        <s v="ПДО"/>
      </sharedItems>
    </cacheField>
  </cacheFields>
  <cacheHierarchies count="62">
    <cacheHierarchy uniqueName="[выходные].[выходной]" caption="выходной" attribute="1" defaultMemberUniqueName="[выходные].[выходной].[All]" allUniqueName="[выходные].[выходной].[All]" dimensionUniqueName="[выходные]" displayFolder="" count="0" memberValueDatatype="20" unbalanced="0"/>
    <cacheHierarchy uniqueName="[выходные].[Дата]" caption="Дата" attribute="1" time="1" defaultMemberUniqueName="[выходные].[Дата].[All]" allUniqueName="[выходные].[Дата].[All]" dimensionUniqueName="[выходные]" displayFolder="" count="0" memberValueDatatype="7" unbalanced="0"/>
    <cacheHierarchy uniqueName="[исходная].[Отдел]" caption="Отдел" attribute="1" defaultMemberUniqueName="[исходная].[Отдел].[All]" allUniqueName="[исходная].[Отдел].[All]" dimensionUniqueName="[исходная]" displayFolder="" count="0" memberValueDatatype="130" unbalanced="0"/>
    <cacheHierarchy uniqueName="[исходная_даты].[дата нач.1]" caption="дата нач.1" attribute="1" defaultMemberUniqueName="[исходная_даты].[дата нач.1].[All]" allUniqueName="[исходная_даты].[дата нач.1].[All]" dimensionUniqueName="[исходная_даты]" displayFolder="" count="0" memberValueDatatype="20" unbalanced="0"/>
    <cacheHierarchy uniqueName="[исходная_даты].[дата нач.2]" caption="дата нач.2" attribute="1" defaultMemberUniqueName="[исходная_даты].[дата нач.2].[All]" allUniqueName="[исходная_даты].[дата нач.2].[All]" dimensionUniqueName="[исходная_даты]" displayFolder="" count="0" memberValueDatatype="20" unbalanced="0"/>
    <cacheHierarchy uniqueName="[исходная_даты].[дата нач.3]" caption="дата нач.3" attribute="1" defaultMemberUniqueName="[исходная_даты].[дата нач.3].[All]" allUniqueName="[исходная_даты].[дата нач.3].[All]" dimensionUniqueName="[исходная_даты]" displayFolder="" count="0" memberValueDatatype="20" unbalanced="0"/>
    <cacheHierarchy uniqueName="[исходная_даты].[дней1]" caption="дней1" attribute="1" defaultMemberUniqueName="[исходная_даты].[дней1].[All]" allUniqueName="[исходная_даты].[дней1].[All]" dimensionUniqueName="[исходная_даты]" displayFolder="" count="0" memberValueDatatype="20" unbalanced="0"/>
    <cacheHierarchy uniqueName="[исходная_даты].[дней2]" caption="дней2" attribute="1" defaultMemberUniqueName="[исходная_даты].[дней2].[All]" allUniqueName="[исходная_даты].[дней2].[All]" dimensionUniqueName="[исходная_даты]" displayFolder="" count="0" memberValueDatatype="20" unbalanced="0"/>
    <cacheHierarchy uniqueName="[исходная_даты].[дней3]" caption="дней3" attribute="1" defaultMemberUniqueName="[исходная_даты].[дней3].[All]" allUniqueName="[исходная_даты].[дней3].[All]" dimensionUniqueName="[исходная_даты]" displayFolder="" count="0" memberValueDatatype="20" unbalanced="0"/>
    <cacheHierarchy uniqueName="[исходная_даты].[Должность]" caption="Должность" attribute="1" defaultMemberUniqueName="[исходная_даты].[Должность].[All]" allUniqueName="[исходная_даты].[Должность].[All]" dimensionUniqueName="[исходная_даты]" displayFolder="" count="0" memberValueDatatype="130" unbalanced="0"/>
    <cacheHierarchy uniqueName="[исходная_даты].[конец1]" caption="конец1" attribute="1" defaultMemberUniqueName="[исходная_даты].[конец1].[All]" allUniqueName="[исходная_даты].[конец1].[All]" dimensionUniqueName="[исходная_даты]" displayFolder="" count="0" memberValueDatatype="20" unbalanced="0"/>
    <cacheHierarchy uniqueName="[исходная_даты].[конец2]" caption="конец2" attribute="1" defaultMemberUniqueName="[исходная_даты].[конец2].[All]" allUniqueName="[исходная_даты].[конец2].[All]" dimensionUniqueName="[исходная_даты]" displayFolder="" count="0" memberValueDatatype="20" unbalanced="0"/>
    <cacheHierarchy uniqueName="[исходная_даты].[конец3]" caption="конец3" attribute="1" defaultMemberUniqueName="[исходная_даты].[конец3].[All]" allUniqueName="[исходная_даты].[конец3].[All]" dimensionUniqueName="[исходная_даты]" displayFolder="" count="0" memberValueDatatype="20" unbalanced="0"/>
    <cacheHierarchy uniqueName="[исходная_даты].[Отдел]" caption="Отдел" attribute="1" defaultMemberUniqueName="[исходная_даты].[Отдел].[All]" allUniqueName="[исходная_даты].[Отдел].[All]" dimensionUniqueName="[исходная_даты]" displayFolder="" count="2" memberValueDatatype="130" unbalanced="0">
      <fieldsUsage count="2">
        <fieldUsage x="-1"/>
        <fieldUsage x="4"/>
      </fieldsUsage>
    </cacheHierarchy>
    <cacheHierarchy uniqueName="[исходная_даты].[период1]" caption="период1" attribute="1" defaultMemberUniqueName="[исходная_даты].[период1].[All]" allUniqueName="[исходная_даты].[период1].[All]" dimensionUniqueName="[исходная_даты]" displayFolder="" count="2" memberValueDatatype="130" unbalanced="0">
      <fieldsUsage count="2">
        <fieldUsage x="-1"/>
        <fieldUsage x="0"/>
      </fieldsUsage>
    </cacheHierarchy>
    <cacheHierarchy uniqueName="[исходная_даты].[период2]" caption="период2" attribute="1" defaultMemberUniqueName="[исходная_даты].[период2].[All]" allUniqueName="[исходная_даты].[период2].[All]" dimensionUniqueName="[исходная_даты]" displayFolder="" count="2" memberValueDatatype="130" unbalanced="0">
      <fieldsUsage count="2">
        <fieldUsage x="-1"/>
        <fieldUsage x="1"/>
      </fieldsUsage>
    </cacheHierarchy>
    <cacheHierarchy uniqueName="[исходная_даты].[период3]" caption="период3" attribute="1" defaultMemberUniqueName="[исходная_даты].[период3].[All]" allUniqueName="[исходная_даты].[период3].[All]" dimensionUniqueName="[исходная_даты]" displayFolder="" count="2" memberValueDatatype="130" unbalanced="0">
      <fieldsUsage count="2">
        <fieldUsage x="-1"/>
        <fieldUsage x="2"/>
      </fieldsUsage>
    </cacheHierarchy>
    <cacheHierarchy uniqueName="[исходная_даты].[промежуток1]" caption="промежуток1" attribute="1" defaultMemberUniqueName="[исходная_даты].[промежуток1].[All]" allUniqueName="[исходная_даты].[промежуток1].[All]" dimensionUniqueName="[исходная_даты]" displayFolder="" count="0" memberValueDatatype="20" unbalanced="0"/>
    <cacheHierarchy uniqueName="[исходная_даты].[промежуток2]" caption="промежуток2" attribute="1" defaultMemberUniqueName="[исходная_даты].[промежуток2].[All]" allUniqueName="[исходная_даты].[промежуток2].[All]" dimensionUniqueName="[исходная_даты]" displayFolder="" count="0" memberValueDatatype="20" unbalanced="0"/>
    <cacheHierarchy uniqueName="[исходная_даты].[ФИО]" caption="ФИО" attribute="1" defaultMemberUniqueName="[исходная_даты].[ФИО].[All]" allUniqueName="[исходная_даты].[ФИО].[All]" dimensionUniqueName="[исходная_даты]" displayFolder="" count="2" memberValueDatatype="130" unbalanced="0">
      <fieldsUsage count="2">
        <fieldUsage x="-1"/>
        <fieldUsage x="3"/>
      </fieldsUsage>
    </cacheHierarchy>
    <cacheHierarchy uniqueName="[исходная_полная].[Count]" caption="Count" attribute="1" defaultMemberUniqueName="[исходная_полная].[Count].[All]" allUniqueName="[исходная_полная].[Count].[All]" dimensionUniqueName="[исходная_полная]" displayFolder="" count="0" memberValueDatatype="20" unbalanced="0"/>
    <cacheHierarchy uniqueName="[исходная_полная].[выходные]" caption="выходные" attribute="1" defaultMemberUniqueName="[исходная_полная].[выходные].[All]" allUniqueName="[исходная_полная].[выходные].[All]" dimensionUniqueName="[исходная_полная]" displayFolder="" count="0" memberValueDatatype="20" unbalanced="0"/>
    <cacheHierarchy uniqueName="[исходная_полная].[дата]" caption="дата" attribute="1" time="1" defaultMemberUniqueName="[исходная_полная].[дата].[All]" allUniqueName="[исходная_полная].[дата].[All]" dimensionUniqueName="[исходная_полная]" displayFolder="" count="0" memberValueDatatype="7" unbalanced="0"/>
    <cacheHierarchy uniqueName="[исходная_полная].[дата (Месяц)]" caption="дата (Месяц)" attribute="1" defaultMemberUniqueName="[исходная_полная].[дата (Месяц)].[All]" allUniqueName="[исходная_полная].[дата (Месяц)].[All]" dimensionUniqueName="[исходная_полная]" displayFolder="" count="0" memberValueDatatype="130" unbalanced="0"/>
    <cacheHierarchy uniqueName="[исходная_полная].[день недели]" caption="день недели" attribute="1" defaultMemberUniqueName="[исходная_полная].[день недели].[All]" allUniqueName="[исходная_полная].[день недели].[All]" dimensionUniqueName="[исходная_полная]" displayFolder="" count="0" memberValueDatatype="20" unbalanced="0"/>
    <cacheHierarchy uniqueName="[исходная_полная].[Отдел]" caption="Отдел" attribute="1" defaultMemberUniqueName="[исходная_полная].[Отдел].[All]" allUniqueName="[исходная_полная].[Отдел].[All]" dimensionUniqueName="[исходная_полная]" displayFolder="" count="0" memberValueDatatype="130" unbalanced="0"/>
    <cacheHierarchy uniqueName="[исходная_полная].[Сумма]" caption="Сумма" attribute="1" defaultMemberUniqueName="[исходная_полная].[Сумма].[All]" allUniqueName="[исходная_полная].[Сумма].[All]" dimensionUniqueName="[исходная_полная]" displayFolder="" count="0" memberValueDatatype="5" unbalanced="0"/>
    <cacheHierarchy uniqueName="[исходная_полная].[явка]" caption="явка" attribute="1" defaultMemberUniqueName="[исходная_полная].[явка].[All]" allUniqueName="[исходная_полная].[явка].[All]" dimensionUniqueName="[исходная_полная]" displayFolder="" count="0" memberValueDatatype="5" unbalanced="0"/>
    <cacheHierarchy uniqueName="[исходная_полная  2].[выходные]" caption="выходные" attribute="1" defaultMemberUniqueName="[исходная_полная  2].[выходные].[All]" allUniqueName="[исходная_полная  2].[выходные].[All]" dimensionUniqueName="[исходная_полная  2]" displayFolder="" count="0" memberValueDatatype="20" unbalanced="0"/>
    <cacheHierarchy uniqueName="[исходная_полная  2].[дата]" caption="дата" attribute="1" time="1" defaultMemberUniqueName="[исходная_полная  2].[дата].[All]" allUniqueName="[исходная_полная  2].[дата].[All]" dimensionUniqueName="[исходная_полная  2]" displayFolder="" count="0" memberValueDatatype="7" unbalanced="0"/>
    <cacheHierarchy uniqueName="[исходная_полная  2].[дата (Месяц)]" caption="дата (Месяц)" attribute="1" defaultMemberUniqueName="[исходная_полная  2].[дата (Месяц)].[All]" allUniqueName="[исходная_полная  2].[дата (Месяц)].[All]" dimensionUniqueName="[исходная_полная  2]" displayFolder="" count="0" memberValueDatatype="130" unbalanced="0"/>
    <cacheHierarchy uniqueName="[исходная_полная  2].[день недели]" caption="день недели" attribute="1" defaultMemberUniqueName="[исходная_полная  2].[день недели].[All]" allUniqueName="[исходная_полная  2].[день недели].[All]" dimensionUniqueName="[исходная_полная  2]" displayFolder="" count="0" memberValueDatatype="20" unbalanced="0"/>
    <cacheHierarchy uniqueName="[исходная_полная  2].[Сумма]" caption="Сумма" attribute="1" defaultMemberUniqueName="[исходная_полная  2].[Сумма].[All]" allUniqueName="[исходная_полная  2].[Сумма].[All]" dimensionUniqueName="[исходная_полная  2]" displayFolder="" count="0" memberValueDatatype="5" unbalanced="0"/>
    <cacheHierarchy uniqueName="[исходная_полная  2].[Явка общая]" caption="Явка общая" attribute="1" defaultMemberUniqueName="[исходная_полная  2].[Явка общая].[All]" allUniqueName="[исходная_полная  2].[Явка общая].[All]" dimensionUniqueName="[исходная_полная  2]" displayFolder="" count="0" memberValueDatatype="5" unbalanced="0"/>
    <cacheHierarchy uniqueName="[уникальные].[Count]" caption="Count" attribute="1" defaultMemberUniqueName="[уникальные].[Count].[All]" allUniqueName="[уникальные].[Count].[All]" dimensionUniqueName="[уникальные]" displayFolder="" count="0" memberValueDatatype="20" unbalanced="0"/>
    <cacheHierarchy uniqueName="[уникальные].[Отдел]" caption="Отдел" attribute="1" defaultMemberUniqueName="[уникальные].[Отдел].[All]" allUniqueName="[уникальные].[Отдел].[All]" dimensionUniqueName="[уникальные]" displayFolder="" count="0" memberValueDatatype="130" unbalanced="0"/>
    <cacheHierarchy uniqueName="[исходная_полная].[дата (Индекс месяца)]" caption="дата (Индекс месяца)" attribute="1" defaultMemberUniqueName="[исходная_полная].[дата (Индекс месяца)].[All]" allUniqueName="[исходная_полная].[дата (Индекс месяца)].[All]" dimensionUniqueName="[исходная_полная]" displayFolder="" count="0" memberValueDatatype="20" unbalanced="0" hidden="1"/>
    <cacheHierarchy uniqueName="[исходная_полная  2].[дата (Индекс месяца)]" caption="дата (Индекс месяца)" attribute="1" defaultMemberUniqueName="[исходная_полная  2].[дата (Индекс месяца)].[All]" allUniqueName="[исходная_полная  2].[дата (Индекс месяца)].[All]" dimensionUniqueName="[исходная_полная  2]" displayFolder="" count="0" memberValueDatatype="20" unbalanced="0" hidden="1"/>
    <cacheHierarchy uniqueName="[Measures].[Строки]" caption="Строки" measure="1" displayFolder="" measureGroup="исходная" count="0"/>
    <cacheHierarchy uniqueName="[Measures].[__XL_Count исходная]" caption="__XL_Count исходная" measure="1" displayFolder="" measureGroup="исходная" count="0" hidden="1"/>
    <cacheHierarchy uniqueName="[Measures].[__XL_Count уникальные]" caption="__XL_Count уникальные" measure="1" displayFolder="" measureGroup="уникальные" count="0" hidden="1"/>
    <cacheHierarchy uniqueName="[Measures].[__XL_Count исходная_полная]" caption="__XL_Count исходная_полная" measure="1" displayFolder="" measureGroup="исходная_полная" count="0" hidden="1"/>
    <cacheHierarchy uniqueName="[Measures].[__XL_Count исходная_полная  2]" caption="__XL_Count исходная_полная  2" measure="1" displayFolder="" measureGroup="исходная_полная  2" count="0" hidden="1"/>
    <cacheHierarchy uniqueName="[Measures].[__XL_Count выходные]" caption="__XL_Count выходные" measure="1" displayFolder="" measureGroup="выходные" count="0" hidden="1"/>
    <cacheHierarchy uniqueName="[Measures].[__XL_Count исходная_даты]" caption="__XL_Count исходная_даты" measure="1" displayFolder="" measureGroup="исходная_даты" count="0" hidden="1"/>
    <cacheHierarchy uniqueName="[Measures].[__No measures defined]" caption="__No measures defined" measure="1" displayFolder="" count="0" hidden="1"/>
    <cacheHierarchy uniqueName="[Measures].[Сумма по столбцу явка]" caption="Сумма по столбцу явк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Среднее по столбцу явка]" caption="Среднее по столбцу явк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Сумма по столбцу Сумма]" caption="Сумма по столбцу Сумм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Сумма по столбцу Count]" caption="Сумма по столбцу Count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Сумма по столбцу Явка общая]" caption="Сумма по столбцу Явка общая" measure="1" displayFolder="" measureGroup="исходная_полная 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Среднее по столбцу Явка общая]" caption="Среднее по столбцу Явка общая" measure="1" displayFolder="" measureGroup="исходная_полная 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Число элементов в столбце дата нач.1]" caption="Число элементов в столбце дата нач.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дата нач.1]" caption="Сумма по столбцу дата нач.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дней1]" caption="Сумма по столбцу дней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промежуток1]" caption="Сумма по столбцу промежуток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Сумма по столбцу дней2]" caption="Сумма по столбцу дней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Сумма по столбцу промежуток2]" caption="Сумма по столбцу промежуток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Сумма по столбцу дней3]" caption="Сумма по столбцу дней3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умма по столбцу дата нач.2]" caption="Сумма по столбцу дата нач.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дата нач.3]" caption="Сумма по столбцу дата нач.3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ФИО]" caption="Число элементов в столбце ФИО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measure="1" name="Measures" uniqueName="[Measures]" caption="Measures"/>
    <dimension name="выходные" uniqueName="[выходные]" caption="выходные"/>
    <dimension name="исходная" uniqueName="[исходная]" caption="исходная"/>
    <dimension name="исходная_даты" uniqueName="[исходная_даты]" caption="исходная_даты"/>
    <dimension name="исходная_полная" uniqueName="[исходная_полная]" caption="исходная_полная"/>
    <dimension name="исходная_полная  2" uniqueName="[исходная_полная  2]" caption="исходная_полная  2"/>
    <dimension name="уникальные" uniqueName="[уникальные]" caption="уникальные"/>
  </dimensions>
  <measureGroups count="6">
    <measureGroup name="выходные" caption="выходные"/>
    <measureGroup name="исходная" caption="исходная"/>
    <measureGroup name="исходная_даты" caption="исходная_даты"/>
    <measureGroup name="исходная_полная" caption="исходная_полная"/>
    <measureGroup name="исходная_полная  2" caption="исходная_полная  2"/>
    <measureGroup name="уникальные" caption="уникальные"/>
  </measureGroups>
  <maps count="9">
    <map measureGroup="0" dimension="1"/>
    <map measureGroup="1" dimension="2"/>
    <map measureGroup="2" dimension="3"/>
    <map measureGroup="3" dimension="1"/>
    <map measureGroup="3" dimension="4"/>
    <map measureGroup="3" dimension="6"/>
    <map measureGroup="4" dimension="1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ksei" refreshedDate="44967.990814004632" createdVersion="3" refreshedVersion="6" minRefreshableVersion="3" recordCount="0" supportSubquery="1" supportAdvancedDrill="1" xr:uid="{9F79E9EF-DAAD-47CD-B641-0CB62D24116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2">
    <cacheHierarchy uniqueName="[выходные].[выходной]" caption="выходной" attribute="1" defaultMemberUniqueName="[выходные].[выходной].[All]" allUniqueName="[выходные].[выходной].[All]" dimensionUniqueName="[выходные]" displayFolder="" count="0" memberValueDatatype="20" unbalanced="0"/>
    <cacheHierarchy uniqueName="[выходные].[Дата]" caption="Дата" attribute="1" time="1" defaultMemberUniqueName="[выходные].[Дата].[All]" allUniqueName="[выходные].[Дата].[All]" dimensionUniqueName="[выходные]" displayFolder="" count="0" memberValueDatatype="7" unbalanced="0"/>
    <cacheHierarchy uniqueName="[исходная].[Отдел]" caption="Отдел" attribute="1" defaultMemberUniqueName="[исходная].[Отдел].[All]" allUniqueName="[исходная].[Отдел].[All]" dimensionUniqueName="[исходная]" displayFolder="" count="0" memberValueDatatype="130" unbalanced="0"/>
    <cacheHierarchy uniqueName="[исходная_даты].[дата нач.1]" caption="дата нач.1" attribute="1" defaultMemberUniqueName="[исходная_даты].[дата нач.1].[All]" allUniqueName="[исходная_даты].[дата нач.1].[All]" dimensionUniqueName="[исходная_даты]" displayFolder="" count="0" memberValueDatatype="20" unbalanced="0"/>
    <cacheHierarchy uniqueName="[исходная_даты].[дата нач.2]" caption="дата нач.2" attribute="1" defaultMemberUniqueName="[исходная_даты].[дата нач.2].[All]" allUniqueName="[исходная_даты].[дата нач.2].[All]" dimensionUniqueName="[исходная_даты]" displayFolder="" count="0" memberValueDatatype="20" unbalanced="0"/>
    <cacheHierarchy uniqueName="[исходная_даты].[дата нач.3]" caption="дата нач.3" attribute="1" defaultMemberUniqueName="[исходная_даты].[дата нач.3].[All]" allUniqueName="[исходная_даты].[дата нач.3].[All]" dimensionUniqueName="[исходная_даты]" displayFolder="" count="0" memberValueDatatype="20" unbalanced="0"/>
    <cacheHierarchy uniqueName="[исходная_даты].[дней1]" caption="дней1" attribute="1" defaultMemberUniqueName="[исходная_даты].[дней1].[All]" allUniqueName="[исходная_даты].[дней1].[All]" dimensionUniqueName="[исходная_даты]" displayFolder="" count="0" memberValueDatatype="20" unbalanced="0"/>
    <cacheHierarchy uniqueName="[исходная_даты].[дней2]" caption="дней2" attribute="1" defaultMemberUniqueName="[исходная_даты].[дней2].[All]" allUniqueName="[исходная_даты].[дней2].[All]" dimensionUniqueName="[исходная_даты]" displayFolder="" count="0" memberValueDatatype="20" unbalanced="0"/>
    <cacheHierarchy uniqueName="[исходная_даты].[дней3]" caption="дней3" attribute="1" defaultMemberUniqueName="[исходная_даты].[дней3].[All]" allUniqueName="[исходная_даты].[дней3].[All]" dimensionUniqueName="[исходная_даты]" displayFolder="" count="0" memberValueDatatype="20" unbalanced="0"/>
    <cacheHierarchy uniqueName="[исходная_даты].[Должность]" caption="Должность" attribute="1" defaultMemberUniqueName="[исходная_даты].[Должность].[All]" allUniqueName="[исходная_даты].[Должность].[All]" dimensionUniqueName="[исходная_даты]" displayFolder="" count="0" memberValueDatatype="130" unbalanced="0"/>
    <cacheHierarchy uniqueName="[исходная_даты].[конец1]" caption="конец1" attribute="1" defaultMemberUniqueName="[исходная_даты].[конец1].[All]" allUniqueName="[исходная_даты].[конец1].[All]" dimensionUniqueName="[исходная_даты]" displayFolder="" count="0" memberValueDatatype="20" unbalanced="0"/>
    <cacheHierarchy uniqueName="[исходная_даты].[конец2]" caption="конец2" attribute="1" defaultMemberUniqueName="[исходная_даты].[конец2].[All]" allUniqueName="[исходная_даты].[конец2].[All]" dimensionUniqueName="[исходная_даты]" displayFolder="" count="0" memberValueDatatype="20" unbalanced="0"/>
    <cacheHierarchy uniqueName="[исходная_даты].[конец3]" caption="конец3" attribute="1" defaultMemberUniqueName="[исходная_даты].[конец3].[All]" allUniqueName="[исходная_даты].[конец3].[All]" dimensionUniqueName="[исходная_даты]" displayFolder="" count="0" memberValueDatatype="20" unbalanced="0"/>
    <cacheHierarchy uniqueName="[исходная_даты].[Отдел]" caption="Отдел" attribute="1" defaultMemberUniqueName="[исходная_даты].[Отдел].[All]" allUniqueName="[исходная_даты].[Отдел].[All]" dimensionUniqueName="[исходная_даты]" displayFolder="" count="0" memberValueDatatype="130" unbalanced="0"/>
    <cacheHierarchy uniqueName="[исходная_даты].[период1]" caption="период1" attribute="1" defaultMemberUniqueName="[исходная_даты].[период1].[All]" allUniqueName="[исходная_даты].[период1].[All]" dimensionUniqueName="[исходная_даты]" displayFolder="" count="0" memberValueDatatype="130" unbalanced="0"/>
    <cacheHierarchy uniqueName="[исходная_даты].[период2]" caption="период2" attribute="1" defaultMemberUniqueName="[исходная_даты].[период2].[All]" allUniqueName="[исходная_даты].[период2].[All]" dimensionUniqueName="[исходная_даты]" displayFolder="" count="0" memberValueDatatype="130" unbalanced="0"/>
    <cacheHierarchy uniqueName="[исходная_даты].[период3]" caption="период3" attribute="1" defaultMemberUniqueName="[исходная_даты].[период3].[All]" allUniqueName="[исходная_даты].[период3].[All]" dimensionUniqueName="[исходная_даты]" displayFolder="" count="0" memberValueDatatype="130" unbalanced="0"/>
    <cacheHierarchy uniqueName="[исходная_даты].[промежуток1]" caption="промежуток1" attribute="1" defaultMemberUniqueName="[исходная_даты].[промежуток1].[All]" allUniqueName="[исходная_даты].[промежуток1].[All]" dimensionUniqueName="[исходная_даты]" displayFolder="" count="0" memberValueDatatype="20" unbalanced="0"/>
    <cacheHierarchy uniqueName="[исходная_даты].[промежуток2]" caption="промежуток2" attribute="1" defaultMemberUniqueName="[исходная_даты].[промежуток2].[All]" allUniqueName="[исходная_даты].[промежуток2].[All]" dimensionUniqueName="[исходная_даты]" displayFolder="" count="0" memberValueDatatype="20" unbalanced="0"/>
    <cacheHierarchy uniqueName="[исходная_даты].[ФИО]" caption="ФИО" attribute="1" defaultMemberUniqueName="[исходная_даты].[ФИО].[All]" allUniqueName="[исходная_даты].[ФИО].[All]" dimensionUniqueName="[исходная_даты]" displayFolder="" count="0" memberValueDatatype="130" unbalanced="0"/>
    <cacheHierarchy uniqueName="[исходная_полная].[Count]" caption="Count" attribute="1" defaultMemberUniqueName="[исходная_полная].[Count].[All]" allUniqueName="[исходная_полная].[Count].[All]" dimensionUniqueName="[исходная_полная]" displayFolder="" count="0" memberValueDatatype="20" unbalanced="0"/>
    <cacheHierarchy uniqueName="[исходная_полная].[выходные]" caption="выходные" attribute="1" defaultMemberUniqueName="[исходная_полная].[выходные].[All]" allUniqueName="[исходная_полная].[выходные].[All]" dimensionUniqueName="[исходная_полная]" displayFolder="" count="0" memberValueDatatype="20" unbalanced="0"/>
    <cacheHierarchy uniqueName="[исходная_полная].[дата]" caption="дата" attribute="1" time="1" defaultMemberUniqueName="[исходная_полная].[дата].[All]" allUniqueName="[исходная_полная].[дата].[All]" dimensionUniqueName="[исходная_полная]" displayFolder="" count="0" memberValueDatatype="7" unbalanced="0"/>
    <cacheHierarchy uniqueName="[исходная_полная].[дата (Месяц)]" caption="дата (Месяц)" attribute="1" defaultMemberUniqueName="[исходная_полная].[дата (Месяц)].[All]" allUniqueName="[исходная_полная].[дата (Месяц)].[All]" dimensionUniqueName="[исходная_полная]" displayFolder="" count="0" memberValueDatatype="130" unbalanced="0"/>
    <cacheHierarchy uniqueName="[исходная_полная].[день недели]" caption="день недели" attribute="1" defaultMemberUniqueName="[исходная_полная].[день недели].[All]" allUniqueName="[исходная_полная].[день недели].[All]" dimensionUniqueName="[исходная_полная]" displayFolder="" count="0" memberValueDatatype="20" unbalanced="0"/>
    <cacheHierarchy uniqueName="[исходная_полная].[Отдел]" caption="Отдел" attribute="1" defaultMemberUniqueName="[исходная_полная].[Отдел].[All]" allUniqueName="[исходная_полная].[Отдел].[All]" dimensionUniqueName="[исходная_полная]" displayFolder="" count="2" memberValueDatatype="130" unbalanced="0"/>
    <cacheHierarchy uniqueName="[исходная_полная].[Сумма]" caption="Сумма" attribute="1" defaultMemberUniqueName="[исходная_полная].[Сумма].[All]" allUniqueName="[исходная_полная].[Сумма].[All]" dimensionUniqueName="[исходная_полная]" displayFolder="" count="0" memberValueDatatype="5" unbalanced="0"/>
    <cacheHierarchy uniqueName="[исходная_полная].[явка]" caption="явка" attribute="1" defaultMemberUniqueName="[исходная_полная].[явка].[All]" allUniqueName="[исходная_полная].[явка].[All]" dimensionUniqueName="[исходная_полная]" displayFolder="" count="0" memberValueDatatype="5" unbalanced="0"/>
    <cacheHierarchy uniqueName="[исходная_полная  2].[выходные]" caption="выходные" attribute="1" defaultMemberUniqueName="[исходная_полная  2].[выходные].[All]" allUniqueName="[исходная_полная  2].[выходные].[All]" dimensionUniqueName="[исходная_полная  2]" displayFolder="" count="0" memberValueDatatype="20" unbalanced="0"/>
    <cacheHierarchy uniqueName="[исходная_полная  2].[дата]" caption="дата" attribute="1" time="1" defaultMemberUniqueName="[исходная_полная  2].[дата].[All]" allUniqueName="[исходная_полная  2].[дата].[All]" dimensionUniqueName="[исходная_полная  2]" displayFolder="" count="0" memberValueDatatype="7" unbalanced="0"/>
    <cacheHierarchy uniqueName="[исходная_полная  2].[дата (Месяц)]" caption="дата (Месяц)" attribute="1" defaultMemberUniqueName="[исходная_полная  2].[дата (Месяц)].[All]" allUniqueName="[исходная_полная  2].[дата (Месяц)].[All]" dimensionUniqueName="[исходная_полная  2]" displayFolder="" count="0" memberValueDatatype="130" unbalanced="0"/>
    <cacheHierarchy uniqueName="[исходная_полная  2].[день недели]" caption="день недели" attribute="1" defaultMemberUniqueName="[исходная_полная  2].[день недели].[All]" allUniqueName="[исходная_полная  2].[день недели].[All]" dimensionUniqueName="[исходная_полная  2]" displayFolder="" count="0" memberValueDatatype="20" unbalanced="0"/>
    <cacheHierarchy uniqueName="[исходная_полная  2].[Сумма]" caption="Сумма" attribute="1" defaultMemberUniqueName="[исходная_полная  2].[Сумма].[All]" allUniqueName="[исходная_полная  2].[Сумма].[All]" dimensionUniqueName="[исходная_полная  2]" displayFolder="" count="0" memberValueDatatype="5" unbalanced="0"/>
    <cacheHierarchy uniqueName="[исходная_полная  2].[Явка общая]" caption="Явка общая" attribute="1" defaultMemberUniqueName="[исходная_полная  2].[Явка общая].[All]" allUniqueName="[исходная_полная  2].[Явка общая].[All]" dimensionUniqueName="[исходная_полная  2]" displayFolder="" count="0" memberValueDatatype="5" unbalanced="0"/>
    <cacheHierarchy uniqueName="[уникальные].[Count]" caption="Count" attribute="1" defaultMemberUniqueName="[уникальные].[Count].[All]" allUniqueName="[уникальные].[Count].[All]" dimensionUniqueName="[уникальные]" displayFolder="" count="0" memberValueDatatype="20" unbalanced="0"/>
    <cacheHierarchy uniqueName="[уникальные].[Отдел]" caption="Отдел" attribute="1" defaultMemberUniqueName="[уникальные].[Отдел].[All]" allUniqueName="[уникальные].[Отдел].[All]" dimensionUniqueName="[уникальные]" displayFolder="" count="0" memberValueDatatype="130" unbalanced="0"/>
    <cacheHierarchy uniqueName="[исходная_полная].[дата (Индекс месяца)]" caption="дата (Индекс месяца)" attribute="1" defaultMemberUniqueName="[исходная_полная].[дата (Индекс месяца)].[All]" allUniqueName="[исходная_полная].[дата (Индекс месяца)].[All]" dimensionUniqueName="[исходная_полная]" displayFolder="" count="0" memberValueDatatype="20" unbalanced="0" hidden="1"/>
    <cacheHierarchy uniqueName="[исходная_полная  2].[дата (Индекс месяца)]" caption="дата (Индекс месяца)" attribute="1" defaultMemberUniqueName="[исходная_полная  2].[дата (Индекс месяца)].[All]" allUniqueName="[исходная_полная  2].[дата (Индекс месяца)].[All]" dimensionUniqueName="[исходная_полная  2]" displayFolder="" count="0" memberValueDatatype="20" unbalanced="0" hidden="1"/>
    <cacheHierarchy uniqueName="[Measures].[Строки]" caption="Строки" measure="1" displayFolder="" measureGroup="исходная" count="0"/>
    <cacheHierarchy uniqueName="[Measures].[__XL_Count исходная]" caption="__XL_Count исходная" measure="1" displayFolder="" measureGroup="исходная" count="0" hidden="1"/>
    <cacheHierarchy uniqueName="[Measures].[__XL_Count уникальные]" caption="__XL_Count уникальные" measure="1" displayFolder="" measureGroup="уникальные" count="0" hidden="1"/>
    <cacheHierarchy uniqueName="[Measures].[__XL_Count исходная_полная]" caption="__XL_Count исходная_полная" measure="1" displayFolder="" measureGroup="исходная_полная" count="0" hidden="1"/>
    <cacheHierarchy uniqueName="[Measures].[__XL_Count исходная_полная  2]" caption="__XL_Count исходная_полная  2" measure="1" displayFolder="" measureGroup="исходная_полная  2" count="0" hidden="1"/>
    <cacheHierarchy uniqueName="[Measures].[__XL_Count выходные]" caption="__XL_Count выходные" measure="1" displayFolder="" measureGroup="выходные" count="0" hidden="1"/>
    <cacheHierarchy uniqueName="[Measures].[__XL_Count исходная_даты]" caption="__XL_Count исходная_даты" measure="1" displayFolder="" measureGroup="исходная_даты" count="0" hidden="1"/>
    <cacheHierarchy uniqueName="[Measures].[__No measures defined]" caption="__No measures defined" measure="1" displayFolder="" count="0" hidden="1"/>
    <cacheHierarchy uniqueName="[Measures].[Сумма по столбцу явка]" caption="Сумма по столбцу явк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Среднее по столбцу явка]" caption="Среднее по столбцу явк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Сумма по столбцу Сумма]" caption="Сумма по столбцу Сумм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Сумма по столбцу Count]" caption="Сумма по столбцу Count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Сумма по столбцу Явка общая]" caption="Сумма по столбцу Явка общая" measure="1" displayFolder="" measureGroup="исходная_полная 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Среднее по столбцу Явка общая]" caption="Среднее по столбцу Явка общая" measure="1" displayFolder="" measureGroup="исходная_полная 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Число элементов в столбце дата нач.1]" caption="Число элементов в столбце дата нач.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дата нач.1]" caption="Сумма по столбцу дата нач.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дней1]" caption="Сумма по столбцу дней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промежуток1]" caption="Сумма по столбцу промежуток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Сумма по столбцу дней2]" caption="Сумма по столбцу дней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Сумма по столбцу промежуток2]" caption="Сумма по столбцу промежуток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Сумма по столбцу дней3]" caption="Сумма по столбцу дней3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умма по столбцу дата нач.2]" caption="Сумма по столбцу дата нач.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дата нач.3]" caption="Сумма по столбцу дата нач.3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ФИО]" caption="Число элементов в столбце ФИО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800060387"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ksei" refreshedDate="44967.992862615742" createdVersion="3" refreshedVersion="6" minRefreshableVersion="3" recordCount="0" supportSubquery="1" supportAdvancedDrill="1" xr:uid="{BD9E0CAC-7C89-4AA8-803C-482EA5E7F73B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2">
    <cacheHierarchy uniqueName="[выходные].[выходной]" caption="выходной" attribute="1" defaultMemberUniqueName="[выходные].[выходной].[All]" allUniqueName="[выходные].[выходной].[All]" dimensionUniqueName="[выходные]" displayFolder="" count="0" memberValueDatatype="20" unbalanced="0"/>
    <cacheHierarchy uniqueName="[выходные].[Дата]" caption="Дата" attribute="1" time="1" defaultMemberUniqueName="[выходные].[Дата].[All]" allUniqueName="[выходные].[Дата].[All]" dimensionUniqueName="[выходные]" displayFolder="" count="0" memberValueDatatype="7" unbalanced="0"/>
    <cacheHierarchy uniqueName="[исходная].[Отдел]" caption="Отдел" attribute="1" defaultMemberUniqueName="[исходная].[Отдел].[All]" allUniqueName="[исходная].[Отдел].[All]" dimensionUniqueName="[исходная]" displayFolder="" count="0" memberValueDatatype="130" unbalanced="0"/>
    <cacheHierarchy uniqueName="[исходная_даты].[дата нач.1]" caption="дата нач.1" attribute="1" defaultMemberUniqueName="[исходная_даты].[дата нач.1].[All]" allUniqueName="[исходная_даты].[дата нач.1].[All]" dimensionUniqueName="[исходная_даты]" displayFolder="" count="0" memberValueDatatype="20" unbalanced="0"/>
    <cacheHierarchy uniqueName="[исходная_даты].[дата нач.2]" caption="дата нач.2" attribute="1" defaultMemberUniqueName="[исходная_даты].[дата нач.2].[All]" allUniqueName="[исходная_даты].[дата нач.2].[All]" dimensionUniqueName="[исходная_даты]" displayFolder="" count="0" memberValueDatatype="20" unbalanced="0"/>
    <cacheHierarchy uniqueName="[исходная_даты].[дата нач.3]" caption="дата нач.3" attribute="1" defaultMemberUniqueName="[исходная_даты].[дата нач.3].[All]" allUniqueName="[исходная_даты].[дата нач.3].[All]" dimensionUniqueName="[исходная_даты]" displayFolder="" count="0" memberValueDatatype="20" unbalanced="0"/>
    <cacheHierarchy uniqueName="[исходная_даты].[дней1]" caption="дней1" attribute="1" defaultMemberUniqueName="[исходная_даты].[дней1].[All]" allUniqueName="[исходная_даты].[дней1].[All]" dimensionUniqueName="[исходная_даты]" displayFolder="" count="0" memberValueDatatype="20" unbalanced="0"/>
    <cacheHierarchy uniqueName="[исходная_даты].[дней2]" caption="дней2" attribute="1" defaultMemberUniqueName="[исходная_даты].[дней2].[All]" allUniqueName="[исходная_даты].[дней2].[All]" dimensionUniqueName="[исходная_даты]" displayFolder="" count="0" memberValueDatatype="20" unbalanced="0"/>
    <cacheHierarchy uniqueName="[исходная_даты].[дней3]" caption="дней3" attribute="1" defaultMemberUniqueName="[исходная_даты].[дней3].[All]" allUniqueName="[исходная_даты].[дней3].[All]" dimensionUniqueName="[исходная_даты]" displayFolder="" count="0" memberValueDatatype="20" unbalanced="0"/>
    <cacheHierarchy uniqueName="[исходная_даты].[Должность]" caption="Должность" attribute="1" defaultMemberUniqueName="[исходная_даты].[Должность].[All]" allUniqueName="[исходная_даты].[Должность].[All]" dimensionUniqueName="[исходная_даты]" displayFolder="" count="0" memberValueDatatype="130" unbalanced="0"/>
    <cacheHierarchy uniqueName="[исходная_даты].[конец1]" caption="конец1" attribute="1" defaultMemberUniqueName="[исходная_даты].[конец1].[All]" allUniqueName="[исходная_даты].[конец1].[All]" dimensionUniqueName="[исходная_даты]" displayFolder="" count="0" memberValueDatatype="20" unbalanced="0"/>
    <cacheHierarchy uniqueName="[исходная_даты].[конец2]" caption="конец2" attribute="1" defaultMemberUniqueName="[исходная_даты].[конец2].[All]" allUniqueName="[исходная_даты].[конец2].[All]" dimensionUniqueName="[исходная_даты]" displayFolder="" count="0" memberValueDatatype="20" unbalanced="0"/>
    <cacheHierarchy uniqueName="[исходная_даты].[конец3]" caption="конец3" attribute="1" defaultMemberUniqueName="[исходная_даты].[конец3].[All]" allUniqueName="[исходная_даты].[конец3].[All]" dimensionUniqueName="[исходная_даты]" displayFolder="" count="0" memberValueDatatype="20" unbalanced="0"/>
    <cacheHierarchy uniqueName="[исходная_даты].[Отдел]" caption="Отдел" attribute="1" defaultMemberUniqueName="[исходная_даты].[Отдел].[All]" allUniqueName="[исходная_даты].[Отдел].[All]" dimensionUniqueName="[исходная_даты]" displayFolder="" count="2" memberValueDatatype="130" unbalanced="0"/>
    <cacheHierarchy uniqueName="[исходная_даты].[период1]" caption="период1" attribute="1" defaultMemberUniqueName="[исходная_даты].[период1].[All]" allUniqueName="[исходная_даты].[период1].[All]" dimensionUniqueName="[исходная_даты]" displayFolder="" count="0" memberValueDatatype="130" unbalanced="0"/>
    <cacheHierarchy uniqueName="[исходная_даты].[период2]" caption="период2" attribute="1" defaultMemberUniqueName="[исходная_даты].[период2].[All]" allUniqueName="[исходная_даты].[период2].[All]" dimensionUniqueName="[исходная_даты]" displayFolder="" count="0" memberValueDatatype="130" unbalanced="0"/>
    <cacheHierarchy uniqueName="[исходная_даты].[период3]" caption="период3" attribute="1" defaultMemberUniqueName="[исходная_даты].[период3].[All]" allUniqueName="[исходная_даты].[период3].[All]" dimensionUniqueName="[исходная_даты]" displayFolder="" count="0" memberValueDatatype="130" unbalanced="0"/>
    <cacheHierarchy uniqueName="[исходная_даты].[промежуток1]" caption="промежуток1" attribute="1" defaultMemberUniqueName="[исходная_даты].[промежуток1].[All]" allUniqueName="[исходная_даты].[промежуток1].[All]" dimensionUniqueName="[исходная_даты]" displayFolder="" count="0" memberValueDatatype="20" unbalanced="0"/>
    <cacheHierarchy uniqueName="[исходная_даты].[промежуток2]" caption="промежуток2" attribute="1" defaultMemberUniqueName="[исходная_даты].[промежуток2].[All]" allUniqueName="[исходная_даты].[промежуток2].[All]" dimensionUniqueName="[исходная_даты]" displayFolder="" count="0" memberValueDatatype="20" unbalanced="0"/>
    <cacheHierarchy uniqueName="[исходная_даты].[ФИО]" caption="ФИО" attribute="1" defaultMemberUniqueName="[исходная_даты].[ФИО].[All]" allUniqueName="[исходная_даты].[ФИО].[All]" dimensionUniqueName="[исходная_даты]" displayFolder="" count="2" memberValueDatatype="130" unbalanced="0"/>
    <cacheHierarchy uniqueName="[исходная_полная].[Count]" caption="Count" attribute="1" defaultMemberUniqueName="[исходная_полная].[Count].[All]" allUniqueName="[исходная_полная].[Count].[All]" dimensionUniqueName="[исходная_полная]" displayFolder="" count="0" memberValueDatatype="20" unbalanced="0"/>
    <cacheHierarchy uniqueName="[исходная_полная].[выходные]" caption="выходные" attribute="1" defaultMemberUniqueName="[исходная_полная].[выходные].[All]" allUniqueName="[исходная_полная].[выходные].[All]" dimensionUniqueName="[исходная_полная]" displayFolder="" count="0" memberValueDatatype="20" unbalanced="0"/>
    <cacheHierarchy uniqueName="[исходная_полная].[дата]" caption="дата" attribute="1" time="1" defaultMemberUniqueName="[исходная_полная].[дата].[All]" allUniqueName="[исходная_полная].[дата].[All]" dimensionUniqueName="[исходная_полная]" displayFolder="" count="0" memberValueDatatype="7" unbalanced="0"/>
    <cacheHierarchy uniqueName="[исходная_полная].[дата (Месяц)]" caption="дата (Месяц)" attribute="1" defaultMemberUniqueName="[исходная_полная].[дата (Месяц)].[All]" allUniqueName="[исходная_полная].[дата (Месяц)].[All]" dimensionUniqueName="[исходная_полная]" displayFolder="" count="0" memberValueDatatype="130" unbalanced="0"/>
    <cacheHierarchy uniqueName="[исходная_полная].[день недели]" caption="день недели" attribute="1" defaultMemberUniqueName="[исходная_полная].[день недели].[All]" allUniqueName="[исходная_полная].[день недели].[All]" dimensionUniqueName="[исходная_полная]" displayFolder="" count="0" memberValueDatatype="20" unbalanced="0"/>
    <cacheHierarchy uniqueName="[исходная_полная].[Отдел]" caption="Отдел" attribute="1" defaultMemberUniqueName="[исходная_полная].[Отдел].[All]" allUniqueName="[исходная_полная].[Отдел].[All]" dimensionUniqueName="[исходная_полная]" displayFolder="" count="0" memberValueDatatype="130" unbalanced="0"/>
    <cacheHierarchy uniqueName="[исходная_полная].[Сумма]" caption="Сумма" attribute="1" defaultMemberUniqueName="[исходная_полная].[Сумма].[All]" allUniqueName="[исходная_полная].[Сумма].[All]" dimensionUniqueName="[исходная_полная]" displayFolder="" count="0" memberValueDatatype="5" unbalanced="0"/>
    <cacheHierarchy uniqueName="[исходная_полная].[явка]" caption="явка" attribute="1" defaultMemberUniqueName="[исходная_полная].[явка].[All]" allUniqueName="[исходная_полная].[явка].[All]" dimensionUniqueName="[исходная_полная]" displayFolder="" count="0" memberValueDatatype="5" unbalanced="0"/>
    <cacheHierarchy uniqueName="[исходная_полная  2].[выходные]" caption="выходные" attribute="1" defaultMemberUniqueName="[исходная_полная  2].[выходные].[All]" allUniqueName="[исходная_полная  2].[выходные].[All]" dimensionUniqueName="[исходная_полная  2]" displayFolder="" count="0" memberValueDatatype="20" unbalanced="0"/>
    <cacheHierarchy uniqueName="[исходная_полная  2].[дата]" caption="дата" attribute="1" time="1" defaultMemberUniqueName="[исходная_полная  2].[дата].[All]" allUniqueName="[исходная_полная  2].[дата].[All]" dimensionUniqueName="[исходная_полная  2]" displayFolder="" count="0" memberValueDatatype="7" unbalanced="0"/>
    <cacheHierarchy uniqueName="[исходная_полная  2].[дата (Месяц)]" caption="дата (Месяц)" attribute="1" defaultMemberUniqueName="[исходная_полная  2].[дата (Месяц)].[All]" allUniqueName="[исходная_полная  2].[дата (Месяц)].[All]" dimensionUniqueName="[исходная_полная  2]" displayFolder="" count="0" memberValueDatatype="130" unbalanced="0"/>
    <cacheHierarchy uniqueName="[исходная_полная  2].[день недели]" caption="день недели" attribute="1" defaultMemberUniqueName="[исходная_полная  2].[день недели].[All]" allUniqueName="[исходная_полная  2].[день недели].[All]" dimensionUniqueName="[исходная_полная  2]" displayFolder="" count="0" memberValueDatatype="20" unbalanced="0"/>
    <cacheHierarchy uniqueName="[исходная_полная  2].[Сумма]" caption="Сумма" attribute="1" defaultMemberUniqueName="[исходная_полная  2].[Сумма].[All]" allUniqueName="[исходная_полная  2].[Сумма].[All]" dimensionUniqueName="[исходная_полная  2]" displayFolder="" count="0" memberValueDatatype="5" unbalanced="0"/>
    <cacheHierarchy uniqueName="[исходная_полная  2].[Явка общая]" caption="Явка общая" attribute="1" defaultMemberUniqueName="[исходная_полная  2].[Явка общая].[All]" allUniqueName="[исходная_полная  2].[Явка общая].[All]" dimensionUniqueName="[исходная_полная  2]" displayFolder="" count="0" memberValueDatatype="5" unbalanced="0"/>
    <cacheHierarchy uniqueName="[уникальные].[Count]" caption="Count" attribute="1" defaultMemberUniqueName="[уникальные].[Count].[All]" allUniqueName="[уникальные].[Count].[All]" dimensionUniqueName="[уникальные]" displayFolder="" count="0" memberValueDatatype="20" unbalanced="0"/>
    <cacheHierarchy uniqueName="[уникальные].[Отдел]" caption="Отдел" attribute="1" defaultMemberUniqueName="[уникальные].[Отдел].[All]" allUniqueName="[уникальные].[Отдел].[All]" dimensionUniqueName="[уникальные]" displayFolder="" count="0" memberValueDatatype="130" unbalanced="0"/>
    <cacheHierarchy uniqueName="[исходная_полная].[дата (Индекс месяца)]" caption="дата (Индекс месяца)" attribute="1" defaultMemberUniqueName="[исходная_полная].[дата (Индекс месяца)].[All]" allUniqueName="[исходная_полная].[дата (Индекс месяца)].[All]" dimensionUniqueName="[исходная_полная]" displayFolder="" count="0" memberValueDatatype="20" unbalanced="0" hidden="1"/>
    <cacheHierarchy uniqueName="[исходная_полная  2].[дата (Индекс месяца)]" caption="дата (Индекс месяца)" attribute="1" defaultMemberUniqueName="[исходная_полная  2].[дата (Индекс месяца)].[All]" allUniqueName="[исходная_полная  2].[дата (Индекс месяца)].[All]" dimensionUniqueName="[исходная_полная  2]" displayFolder="" count="0" memberValueDatatype="20" unbalanced="0" hidden="1"/>
    <cacheHierarchy uniqueName="[Measures].[Строки]" caption="Строки" measure="1" displayFolder="" measureGroup="исходная" count="0"/>
    <cacheHierarchy uniqueName="[Measures].[__XL_Count исходная]" caption="__XL_Count исходная" measure="1" displayFolder="" measureGroup="исходная" count="0" hidden="1"/>
    <cacheHierarchy uniqueName="[Measures].[__XL_Count уникальные]" caption="__XL_Count уникальные" measure="1" displayFolder="" measureGroup="уникальные" count="0" hidden="1"/>
    <cacheHierarchy uniqueName="[Measures].[__XL_Count исходная_полная]" caption="__XL_Count исходная_полная" measure="1" displayFolder="" measureGroup="исходная_полная" count="0" hidden="1"/>
    <cacheHierarchy uniqueName="[Measures].[__XL_Count исходная_полная  2]" caption="__XL_Count исходная_полная  2" measure="1" displayFolder="" measureGroup="исходная_полная  2" count="0" hidden="1"/>
    <cacheHierarchy uniqueName="[Measures].[__XL_Count выходные]" caption="__XL_Count выходные" measure="1" displayFolder="" measureGroup="выходные" count="0" hidden="1"/>
    <cacheHierarchy uniqueName="[Measures].[__XL_Count исходная_даты]" caption="__XL_Count исходная_даты" measure="1" displayFolder="" measureGroup="исходная_даты" count="0" hidden="1"/>
    <cacheHierarchy uniqueName="[Measures].[__No measures defined]" caption="__No measures defined" measure="1" displayFolder="" count="0" hidden="1"/>
    <cacheHierarchy uniqueName="[Measures].[Сумма по столбцу явка]" caption="Сумма по столбцу явк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Среднее по столбцу явка]" caption="Среднее по столбцу явк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Сумма по столбцу Сумма]" caption="Сумма по столбцу Сумм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Сумма по столбцу Count]" caption="Сумма по столбцу Count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Сумма по столбцу Явка общая]" caption="Сумма по столбцу Явка общая" measure="1" displayFolder="" measureGroup="исходная_полная 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Среднее по столбцу Явка общая]" caption="Среднее по столбцу Явка общая" measure="1" displayFolder="" measureGroup="исходная_полная 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Число элементов в столбце дата нач.1]" caption="Число элементов в столбце дата нач.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дата нач.1]" caption="Сумма по столбцу дата нач.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дней1]" caption="Сумма по столбцу дней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промежуток1]" caption="Сумма по столбцу промежуток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Сумма по столбцу дней2]" caption="Сумма по столбцу дней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Сумма по столбцу промежуток2]" caption="Сумма по столбцу промежуток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Сумма по столбцу дней3]" caption="Сумма по столбцу дней3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умма по столбцу дата нач.2]" caption="Сумма по столбцу дата нач.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дата нач.3]" caption="Сумма по столбцу дата нач.3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ФИО]" caption="Число элементов в столбце ФИО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26158161"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ksei" refreshedDate="44967.99081851852" createdVersion="5" refreshedVersion="6" minRefreshableVersion="3" recordCount="0" supportSubquery="1" supportAdvancedDrill="1" xr:uid="{00000000-000A-0000-FFFF-FFFFF100000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исходная_полная  2].[день недели].[день недели]" caption="день недели" numFmtId="0" hierarchy="31" level="1">
      <sharedItems containsSemiMixedTypes="0" containsNonDate="0" containsString="0"/>
    </cacheField>
    <cacheField name="[исходная_полная  2].[дата (Месяц)].[дата (Месяц)]" caption="дата (Месяц)" numFmtId="0" hierarchy="30" level="1">
      <sharedItems count="12">
        <s v="янв"/>
        <s v="фев"/>
        <s v="мар"/>
        <s v="апр"/>
        <s v="май"/>
        <s v="июн"/>
        <s v="июл"/>
        <s v="авг"/>
        <s v="сен"/>
        <s v="окт"/>
        <s v="ноя"/>
        <s v="дек"/>
      </sharedItems>
    </cacheField>
    <cacheField name="[Measures].[Среднее по столбцу Явка общая]" caption="Среднее по столбцу Явка общая" numFmtId="0" hierarchy="51" level="32767"/>
    <cacheField name="[исходная_полная  2].[выходные].[выходные]" caption="выходные" numFmtId="0" hierarchy="28" level="1">
      <sharedItems containsSemiMixedTypes="0" containsNonDate="0" containsString="0"/>
    </cacheField>
  </cacheFields>
  <cacheHierarchies count="62">
    <cacheHierarchy uniqueName="[выходные].[выходной]" caption="выходной" attribute="1" defaultMemberUniqueName="[выходные].[выходной].[All]" allUniqueName="[выходные].[выходной].[All]" dimensionUniqueName="[выходные]" displayFolder="" count="0" memberValueDatatype="20" unbalanced="0"/>
    <cacheHierarchy uniqueName="[выходные].[Дата]" caption="Дата" attribute="1" time="1" defaultMemberUniqueName="[выходные].[Дата].[All]" allUniqueName="[выходные].[Дата].[All]" dimensionUniqueName="[выходные]" displayFolder="" count="0" memberValueDatatype="7" unbalanced="0"/>
    <cacheHierarchy uniqueName="[исходная].[Отдел]" caption="Отдел" attribute="1" defaultMemberUniqueName="[исходная].[Отдел].[All]" allUniqueName="[исходная].[Отдел].[All]" dimensionUniqueName="[исходная]" displayFolder="" count="0" memberValueDatatype="130" unbalanced="0"/>
    <cacheHierarchy uniqueName="[исходная_даты].[дата нач.1]" caption="дата нач.1" attribute="1" defaultMemberUniqueName="[исходная_даты].[дата нач.1].[All]" allUniqueName="[исходная_даты].[дата нач.1].[All]" dimensionUniqueName="[исходная_даты]" displayFolder="" count="0" memberValueDatatype="20" unbalanced="0"/>
    <cacheHierarchy uniqueName="[исходная_даты].[дата нач.2]" caption="дата нач.2" attribute="1" defaultMemberUniqueName="[исходная_даты].[дата нач.2].[All]" allUniqueName="[исходная_даты].[дата нач.2].[All]" dimensionUniqueName="[исходная_даты]" displayFolder="" count="0" memberValueDatatype="20" unbalanced="0"/>
    <cacheHierarchy uniqueName="[исходная_даты].[дата нач.3]" caption="дата нач.3" attribute="1" defaultMemberUniqueName="[исходная_даты].[дата нач.3].[All]" allUniqueName="[исходная_даты].[дата нач.3].[All]" dimensionUniqueName="[исходная_даты]" displayFolder="" count="0" memberValueDatatype="20" unbalanced="0"/>
    <cacheHierarchy uniqueName="[исходная_даты].[дней1]" caption="дней1" attribute="1" defaultMemberUniqueName="[исходная_даты].[дней1].[All]" allUniqueName="[исходная_даты].[дней1].[All]" dimensionUniqueName="[исходная_даты]" displayFolder="" count="0" memberValueDatatype="20" unbalanced="0"/>
    <cacheHierarchy uniqueName="[исходная_даты].[дней2]" caption="дней2" attribute="1" defaultMemberUniqueName="[исходная_даты].[дней2].[All]" allUniqueName="[исходная_даты].[дней2].[All]" dimensionUniqueName="[исходная_даты]" displayFolder="" count="0" memberValueDatatype="20" unbalanced="0"/>
    <cacheHierarchy uniqueName="[исходная_даты].[дней3]" caption="дней3" attribute="1" defaultMemberUniqueName="[исходная_даты].[дней3].[All]" allUniqueName="[исходная_даты].[дней3].[All]" dimensionUniqueName="[исходная_даты]" displayFolder="" count="0" memberValueDatatype="20" unbalanced="0"/>
    <cacheHierarchy uniqueName="[исходная_даты].[Должность]" caption="Должность" attribute="1" defaultMemberUniqueName="[исходная_даты].[Должность].[All]" allUniqueName="[исходная_даты].[Должность].[All]" dimensionUniqueName="[исходная_даты]" displayFolder="" count="0" memberValueDatatype="130" unbalanced="0"/>
    <cacheHierarchy uniqueName="[исходная_даты].[конец1]" caption="конец1" attribute="1" defaultMemberUniqueName="[исходная_даты].[конец1].[All]" allUniqueName="[исходная_даты].[конец1].[All]" dimensionUniqueName="[исходная_даты]" displayFolder="" count="0" memberValueDatatype="20" unbalanced="0"/>
    <cacheHierarchy uniqueName="[исходная_даты].[конец2]" caption="конец2" attribute="1" defaultMemberUniqueName="[исходная_даты].[конец2].[All]" allUniqueName="[исходная_даты].[конец2].[All]" dimensionUniqueName="[исходная_даты]" displayFolder="" count="0" memberValueDatatype="20" unbalanced="0"/>
    <cacheHierarchy uniqueName="[исходная_даты].[конец3]" caption="конец3" attribute="1" defaultMemberUniqueName="[исходная_даты].[конец3].[All]" allUniqueName="[исходная_даты].[конец3].[All]" dimensionUniqueName="[исходная_даты]" displayFolder="" count="0" memberValueDatatype="20" unbalanced="0"/>
    <cacheHierarchy uniqueName="[исходная_даты].[Отдел]" caption="Отдел" attribute="1" defaultMemberUniqueName="[исходная_даты].[Отдел].[All]" allUniqueName="[исходная_даты].[Отдел].[All]" dimensionUniqueName="[исходная_даты]" displayFolder="" count="0" memberValueDatatype="130" unbalanced="0"/>
    <cacheHierarchy uniqueName="[исходная_даты].[период1]" caption="период1" attribute="1" defaultMemberUniqueName="[исходная_даты].[период1].[All]" allUniqueName="[исходная_даты].[период1].[All]" dimensionUniqueName="[исходная_даты]" displayFolder="" count="0" memberValueDatatype="130" unbalanced="0"/>
    <cacheHierarchy uniqueName="[исходная_даты].[период2]" caption="период2" attribute="1" defaultMemberUniqueName="[исходная_даты].[период2].[All]" allUniqueName="[исходная_даты].[период2].[All]" dimensionUniqueName="[исходная_даты]" displayFolder="" count="0" memberValueDatatype="130" unbalanced="0"/>
    <cacheHierarchy uniqueName="[исходная_даты].[период3]" caption="период3" attribute="1" defaultMemberUniqueName="[исходная_даты].[период3].[All]" allUniqueName="[исходная_даты].[период3].[All]" dimensionUniqueName="[исходная_даты]" displayFolder="" count="0" memberValueDatatype="130" unbalanced="0"/>
    <cacheHierarchy uniqueName="[исходная_даты].[промежуток1]" caption="промежуток1" attribute="1" defaultMemberUniqueName="[исходная_даты].[промежуток1].[All]" allUniqueName="[исходная_даты].[промежуток1].[All]" dimensionUniqueName="[исходная_даты]" displayFolder="" count="0" memberValueDatatype="20" unbalanced="0"/>
    <cacheHierarchy uniqueName="[исходная_даты].[промежуток2]" caption="промежуток2" attribute="1" defaultMemberUniqueName="[исходная_даты].[промежуток2].[All]" allUniqueName="[исходная_даты].[промежуток2].[All]" dimensionUniqueName="[исходная_даты]" displayFolder="" count="0" memberValueDatatype="20" unbalanced="0"/>
    <cacheHierarchy uniqueName="[исходная_даты].[ФИО]" caption="ФИО" attribute="1" defaultMemberUniqueName="[исходная_даты].[ФИО].[All]" allUniqueName="[исходная_даты].[ФИО].[All]" dimensionUniqueName="[исходная_даты]" displayFolder="" count="0" memberValueDatatype="130" unbalanced="0"/>
    <cacheHierarchy uniqueName="[исходная_полная].[Count]" caption="Count" attribute="1" defaultMemberUniqueName="[исходная_полная].[Count].[All]" allUniqueName="[исходная_полная].[Count].[All]" dimensionUniqueName="[исходная_полная]" displayFolder="" count="0" memberValueDatatype="20" unbalanced="0"/>
    <cacheHierarchy uniqueName="[исходная_полная].[выходные]" caption="выходные" attribute="1" defaultMemberUniqueName="[исходная_полная].[выходные].[All]" allUniqueName="[исходная_полная].[выходные].[All]" dimensionUniqueName="[исходная_полная]" displayFolder="" count="0" memberValueDatatype="20" unbalanced="0"/>
    <cacheHierarchy uniqueName="[исходная_полная].[дата]" caption="дата" attribute="1" time="1" defaultMemberUniqueName="[исходная_полная].[дата].[All]" allUniqueName="[исходная_полная].[дата].[All]" dimensionUniqueName="[исходная_полная]" displayFolder="" count="0" memberValueDatatype="7" unbalanced="0"/>
    <cacheHierarchy uniqueName="[исходная_полная].[дата (Месяц)]" caption="дата (Месяц)" attribute="1" defaultMemberUniqueName="[исходная_полная].[дата (Месяц)].[All]" allUniqueName="[исходная_полная].[дата (Месяц)].[All]" dimensionUniqueName="[исходная_полная]" displayFolder="" count="0" memberValueDatatype="130" unbalanced="0"/>
    <cacheHierarchy uniqueName="[исходная_полная].[день недели]" caption="день недели" attribute="1" defaultMemberUniqueName="[исходная_полная].[день недели].[All]" allUniqueName="[исходная_полная].[день недели].[All]" dimensionUniqueName="[исходная_полная]" displayFolder="" count="0" memberValueDatatype="20" unbalanced="0"/>
    <cacheHierarchy uniqueName="[исходная_полная].[Отдел]" caption="Отдел" attribute="1" defaultMemberUniqueName="[исходная_полная].[Отдел].[All]" allUniqueName="[исходная_полная].[Отдел].[All]" dimensionUniqueName="[исходная_полная]" displayFolder="" count="0" memberValueDatatype="130" unbalanced="0"/>
    <cacheHierarchy uniqueName="[исходная_полная].[Сумма]" caption="Сумма" attribute="1" defaultMemberUniqueName="[исходная_полная].[Сумма].[All]" allUniqueName="[исходная_полная].[Сумма].[All]" dimensionUniqueName="[исходная_полная]" displayFolder="" count="0" memberValueDatatype="5" unbalanced="0"/>
    <cacheHierarchy uniqueName="[исходная_полная].[явка]" caption="явка" attribute="1" defaultMemberUniqueName="[исходная_полная].[явка].[All]" allUniqueName="[исходная_полная].[явка].[All]" dimensionUniqueName="[исходная_полная]" displayFolder="" count="0" memberValueDatatype="5" unbalanced="0"/>
    <cacheHierarchy uniqueName="[исходная_полная  2].[выходные]" caption="выходные" attribute="1" defaultMemberUniqueName="[исходная_полная  2].[выходные].[All]" allUniqueName="[исходная_полная  2].[выходные].[All]" dimensionUniqueName="[исходная_полная  2]" displayFolder="" count="2" memberValueDatatype="20" unbalanced="0">
      <fieldsUsage count="2">
        <fieldUsage x="-1"/>
        <fieldUsage x="3"/>
      </fieldsUsage>
    </cacheHierarchy>
    <cacheHierarchy uniqueName="[исходная_полная  2].[дата]" caption="дата" attribute="1" time="1" defaultMemberUniqueName="[исходная_полная  2].[дата].[All]" allUniqueName="[исходная_полная  2].[дата].[All]" dimensionUniqueName="[исходная_полная  2]" displayFolder="" count="0" memberValueDatatype="7" unbalanced="0"/>
    <cacheHierarchy uniqueName="[исходная_полная  2].[дата (Месяц)]" caption="дата (Месяц)" attribute="1" defaultMemberUniqueName="[исходная_полная  2].[дата (Месяц)].[All]" allUniqueName="[исходная_полная  2].[дата (Месяц)].[All]" dimensionUniqueName="[исходная_полная  2]" displayFolder="" count="2" memberValueDatatype="130" unbalanced="0">
      <fieldsUsage count="2">
        <fieldUsage x="-1"/>
        <fieldUsage x="1"/>
      </fieldsUsage>
    </cacheHierarchy>
    <cacheHierarchy uniqueName="[исходная_полная  2].[день недели]" caption="день недели" attribute="1" defaultMemberUniqueName="[исходная_полная  2].[день недели].[All]" allUniqueName="[исходная_полная  2].[день недели].[All]" dimensionUniqueName="[исходная_полная  2]" displayFolder="" count="2" memberValueDatatype="20" unbalanced="0">
      <fieldsUsage count="2">
        <fieldUsage x="-1"/>
        <fieldUsage x="0"/>
      </fieldsUsage>
    </cacheHierarchy>
    <cacheHierarchy uniqueName="[исходная_полная  2].[Сумма]" caption="Сумма" attribute="1" defaultMemberUniqueName="[исходная_полная  2].[Сумма].[All]" allUniqueName="[исходная_полная  2].[Сумма].[All]" dimensionUniqueName="[исходная_полная  2]" displayFolder="" count="0" memberValueDatatype="5" unbalanced="0"/>
    <cacheHierarchy uniqueName="[исходная_полная  2].[Явка общая]" caption="Явка общая" attribute="1" defaultMemberUniqueName="[исходная_полная  2].[Явка общая].[All]" allUniqueName="[исходная_полная  2].[Явка общая].[All]" dimensionUniqueName="[исходная_полная  2]" displayFolder="" count="0" memberValueDatatype="5" unbalanced="0"/>
    <cacheHierarchy uniqueName="[уникальные].[Count]" caption="Count" attribute="1" defaultMemberUniqueName="[уникальные].[Count].[All]" allUniqueName="[уникальные].[Count].[All]" dimensionUniqueName="[уникальные]" displayFolder="" count="0" memberValueDatatype="20" unbalanced="0"/>
    <cacheHierarchy uniqueName="[уникальные].[Отдел]" caption="Отдел" attribute="1" defaultMemberUniqueName="[уникальные].[Отдел].[All]" allUniqueName="[уникальные].[Отдел].[All]" dimensionUniqueName="[уникальные]" displayFolder="" count="0" memberValueDatatype="130" unbalanced="0"/>
    <cacheHierarchy uniqueName="[исходная_полная].[дата (Индекс месяца)]" caption="дата (Индекс месяца)" attribute="1" defaultMemberUniqueName="[исходная_полная].[дата (Индекс месяца)].[All]" allUniqueName="[исходная_полная].[дата (Индекс месяца)].[All]" dimensionUniqueName="[исходная_полная]" displayFolder="" count="0" memberValueDatatype="20" unbalanced="0" hidden="1"/>
    <cacheHierarchy uniqueName="[исходная_полная  2].[дата (Индекс месяца)]" caption="дата (Индекс месяца)" attribute="1" defaultMemberUniqueName="[исходная_полная  2].[дата (Индекс месяца)].[All]" allUniqueName="[исходная_полная  2].[дата (Индекс месяца)].[All]" dimensionUniqueName="[исходная_полная  2]" displayFolder="" count="0" memberValueDatatype="20" unbalanced="0" hidden="1"/>
    <cacheHierarchy uniqueName="[Measures].[Строки]" caption="Строки" measure="1" displayFolder="" measureGroup="исходная" count="0"/>
    <cacheHierarchy uniqueName="[Measures].[__XL_Count исходная]" caption="__XL_Count исходная" measure="1" displayFolder="" measureGroup="исходная" count="0" hidden="1"/>
    <cacheHierarchy uniqueName="[Measures].[__XL_Count уникальные]" caption="__XL_Count уникальные" measure="1" displayFolder="" measureGroup="уникальные" count="0" hidden="1"/>
    <cacheHierarchy uniqueName="[Measures].[__XL_Count исходная_полная]" caption="__XL_Count исходная_полная" measure="1" displayFolder="" measureGroup="исходная_полная" count="0" hidden="1"/>
    <cacheHierarchy uniqueName="[Measures].[__XL_Count исходная_полная  2]" caption="__XL_Count исходная_полная  2" measure="1" displayFolder="" measureGroup="исходная_полная  2" count="0" hidden="1"/>
    <cacheHierarchy uniqueName="[Measures].[__XL_Count выходные]" caption="__XL_Count выходные" measure="1" displayFolder="" measureGroup="выходные" count="0" hidden="1"/>
    <cacheHierarchy uniqueName="[Measures].[__XL_Count исходная_даты]" caption="__XL_Count исходная_даты" measure="1" displayFolder="" measureGroup="исходная_даты" count="0" hidden="1"/>
    <cacheHierarchy uniqueName="[Measures].[__No measures defined]" caption="__No measures defined" measure="1" displayFolder="" count="0" hidden="1"/>
    <cacheHierarchy uniqueName="[Measures].[Сумма по столбцу явка]" caption="Сумма по столбцу явк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Среднее по столбцу явка]" caption="Среднее по столбцу явк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Сумма по столбцу Сумма]" caption="Сумма по столбцу Сумм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Сумма по столбцу Count]" caption="Сумма по столбцу Count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Сумма по столбцу Явка общая]" caption="Сумма по столбцу Явка общая" measure="1" displayFolder="" measureGroup="исходная_полная 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Среднее по столбцу Явка общая]" caption="Среднее по столбцу Явка общая" measure="1" displayFolder="" measureGroup="исходная_полная  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Число элементов в столбце дата нач.1]" caption="Число элементов в столбце дата нач.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дата нач.1]" caption="Сумма по столбцу дата нач.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дней1]" caption="Сумма по столбцу дней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промежуток1]" caption="Сумма по столбцу промежуток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Сумма по столбцу дней2]" caption="Сумма по столбцу дней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Сумма по столбцу промежуток2]" caption="Сумма по столбцу промежуток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Сумма по столбцу дней3]" caption="Сумма по столбцу дней3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умма по столбцу дата нач.2]" caption="Сумма по столбцу дата нач.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дата нач.3]" caption="Сумма по столбцу дата нач.3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ФИО]" caption="Число элементов в столбце ФИО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measure="1" name="Measures" uniqueName="[Measures]" caption="Measures"/>
    <dimension name="выходные" uniqueName="[выходные]" caption="выходные"/>
    <dimension name="исходная" uniqueName="[исходная]" caption="исходная"/>
    <dimension name="исходная_даты" uniqueName="[исходная_даты]" caption="исходная_даты"/>
    <dimension name="исходная_полная" uniqueName="[исходная_полная]" caption="исходная_полная"/>
    <dimension name="исходная_полная  2" uniqueName="[исходная_полная  2]" caption="исходная_полная  2"/>
    <dimension name="уникальные" uniqueName="[уникальные]" caption="уникальные"/>
  </dimensions>
  <measureGroups count="6">
    <measureGroup name="выходные" caption="выходные"/>
    <measureGroup name="исходная" caption="исходная"/>
    <measureGroup name="исходная_даты" caption="исходная_даты"/>
    <measureGroup name="исходная_полная" caption="исходная_полная"/>
    <measureGroup name="исходная_полная  2" caption="исходная_полная  2"/>
    <measureGroup name="уникальные" caption="уникальные"/>
  </measureGroups>
  <maps count="9">
    <map measureGroup="0" dimension="1"/>
    <map measureGroup="1" dimension="2"/>
    <map measureGroup="2" dimension="3"/>
    <map measureGroup="3" dimension="1"/>
    <map measureGroup="3" dimension="4"/>
    <map measureGroup="3" dimension="6"/>
    <map measureGroup="4" dimension="1"/>
    <map measureGroup="4" dimension="5"/>
    <map measureGroup="5" dimension="6"/>
  </maps>
  <extLst>
    <ext xmlns:x14="http://schemas.microsoft.com/office/spreadsheetml/2009/9/main" uri="{725AE2AE-9491-48be-B2B4-4EB974FC3084}">
      <x14:pivotCacheDefinition pivotCacheId="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ksei" refreshedDate="44967.991595486114" createdVersion="5" refreshedVersion="6" minRefreshableVersion="3" recordCount="0" supportSubquery="1" supportAdvancedDrill="1" xr:uid="{00000000-000A-0000-FFFF-FFFFA701000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исходная_полная].[дата (Месяц)].[дата (Месяц)]" caption="дата (Месяц)" numFmtId="0" hierarchy="23" level="1">
      <sharedItems count="12">
        <s v="янв"/>
        <s v="фев"/>
        <s v="мар"/>
        <s v="апр"/>
        <s v="май"/>
        <s v="июн"/>
        <s v="июл"/>
        <s v="авг"/>
        <s v="сен"/>
        <s v="окт"/>
        <s v="ноя"/>
        <s v="дек"/>
      </sharedItems>
    </cacheField>
    <cacheField name="[исходная_полная].[Отдел].[Отдел]" caption="Отдел" numFmtId="0" hierarchy="25" level="1">
      <sharedItems count="3">
        <s v="ГМО"/>
        <s v="ОТК"/>
        <s v="ПДО"/>
      </sharedItems>
    </cacheField>
    <cacheField name="[Measures].[Среднее по столбцу явка]" caption="Среднее по столбцу явка" numFmtId="0" hierarchy="47" level="32767"/>
    <cacheField name="[исходная_полная].[день недели].[день недели]" caption="день недели" numFmtId="0" hierarchy="24" level="1">
      <sharedItems containsSemiMixedTypes="0" containsNonDate="0" containsString="0"/>
    </cacheField>
    <cacheField name="[исходная_полная].[выходные].[выходные]" caption="выходные" numFmtId="0" hierarchy="21" level="1">
      <sharedItems containsSemiMixedTypes="0" containsNonDate="0" containsString="0"/>
    </cacheField>
  </cacheFields>
  <cacheHierarchies count="62">
    <cacheHierarchy uniqueName="[выходные].[выходной]" caption="выходной" attribute="1" defaultMemberUniqueName="[выходные].[выходной].[All]" allUniqueName="[выходные].[выходной].[All]" dimensionUniqueName="[выходные]" displayFolder="" count="0" memberValueDatatype="20" unbalanced="0"/>
    <cacheHierarchy uniqueName="[выходные].[Дата]" caption="Дата" attribute="1" time="1" defaultMemberUniqueName="[выходные].[Дата].[All]" allUniqueName="[выходные].[Дата].[All]" dimensionUniqueName="[выходные]" displayFolder="" count="0" memberValueDatatype="7" unbalanced="0"/>
    <cacheHierarchy uniqueName="[исходная].[Отдел]" caption="Отдел" attribute="1" defaultMemberUniqueName="[исходная].[Отдел].[All]" allUniqueName="[исходная].[Отдел].[All]" dimensionUniqueName="[исходная]" displayFolder="" count="0" memberValueDatatype="130" unbalanced="0"/>
    <cacheHierarchy uniqueName="[исходная_даты].[дата нач.1]" caption="дата нач.1" attribute="1" defaultMemberUniqueName="[исходная_даты].[дата нач.1].[All]" allUniqueName="[исходная_даты].[дата нач.1].[All]" dimensionUniqueName="[исходная_даты]" displayFolder="" count="0" memberValueDatatype="20" unbalanced="0"/>
    <cacheHierarchy uniqueName="[исходная_даты].[дата нач.2]" caption="дата нач.2" attribute="1" defaultMemberUniqueName="[исходная_даты].[дата нач.2].[All]" allUniqueName="[исходная_даты].[дата нач.2].[All]" dimensionUniqueName="[исходная_даты]" displayFolder="" count="0" memberValueDatatype="20" unbalanced="0"/>
    <cacheHierarchy uniqueName="[исходная_даты].[дата нач.3]" caption="дата нач.3" attribute="1" defaultMemberUniqueName="[исходная_даты].[дата нач.3].[All]" allUniqueName="[исходная_даты].[дата нач.3].[All]" dimensionUniqueName="[исходная_даты]" displayFolder="" count="0" memberValueDatatype="20" unbalanced="0"/>
    <cacheHierarchy uniqueName="[исходная_даты].[дней1]" caption="дней1" attribute="1" defaultMemberUniqueName="[исходная_даты].[дней1].[All]" allUniqueName="[исходная_даты].[дней1].[All]" dimensionUniqueName="[исходная_даты]" displayFolder="" count="0" memberValueDatatype="20" unbalanced="0"/>
    <cacheHierarchy uniqueName="[исходная_даты].[дней2]" caption="дней2" attribute="1" defaultMemberUniqueName="[исходная_даты].[дней2].[All]" allUniqueName="[исходная_даты].[дней2].[All]" dimensionUniqueName="[исходная_даты]" displayFolder="" count="0" memberValueDatatype="20" unbalanced="0"/>
    <cacheHierarchy uniqueName="[исходная_даты].[дней3]" caption="дней3" attribute="1" defaultMemberUniqueName="[исходная_даты].[дней3].[All]" allUniqueName="[исходная_даты].[дней3].[All]" dimensionUniqueName="[исходная_даты]" displayFolder="" count="0" memberValueDatatype="20" unbalanced="0"/>
    <cacheHierarchy uniqueName="[исходная_даты].[Должность]" caption="Должность" attribute="1" defaultMemberUniqueName="[исходная_даты].[Должность].[All]" allUniqueName="[исходная_даты].[Должность].[All]" dimensionUniqueName="[исходная_даты]" displayFolder="" count="0" memberValueDatatype="130" unbalanced="0"/>
    <cacheHierarchy uniqueName="[исходная_даты].[конец1]" caption="конец1" attribute="1" defaultMemberUniqueName="[исходная_даты].[конец1].[All]" allUniqueName="[исходная_даты].[конец1].[All]" dimensionUniqueName="[исходная_даты]" displayFolder="" count="0" memberValueDatatype="20" unbalanced="0"/>
    <cacheHierarchy uniqueName="[исходная_даты].[конец2]" caption="конец2" attribute="1" defaultMemberUniqueName="[исходная_даты].[конец2].[All]" allUniqueName="[исходная_даты].[конец2].[All]" dimensionUniqueName="[исходная_даты]" displayFolder="" count="0" memberValueDatatype="20" unbalanced="0"/>
    <cacheHierarchy uniqueName="[исходная_даты].[конец3]" caption="конец3" attribute="1" defaultMemberUniqueName="[исходная_даты].[конец3].[All]" allUniqueName="[исходная_даты].[конец3].[All]" dimensionUniqueName="[исходная_даты]" displayFolder="" count="0" memberValueDatatype="20" unbalanced="0"/>
    <cacheHierarchy uniqueName="[исходная_даты].[Отдел]" caption="Отдел" attribute="1" defaultMemberUniqueName="[исходная_даты].[Отдел].[All]" allUniqueName="[исходная_даты].[Отдел].[All]" dimensionUniqueName="[исходная_даты]" displayFolder="" count="0" memberValueDatatype="130" unbalanced="0"/>
    <cacheHierarchy uniqueName="[исходная_даты].[период1]" caption="период1" attribute="1" defaultMemberUniqueName="[исходная_даты].[период1].[All]" allUniqueName="[исходная_даты].[период1].[All]" dimensionUniqueName="[исходная_даты]" displayFolder="" count="0" memberValueDatatype="130" unbalanced="0"/>
    <cacheHierarchy uniqueName="[исходная_даты].[период2]" caption="период2" attribute="1" defaultMemberUniqueName="[исходная_даты].[период2].[All]" allUniqueName="[исходная_даты].[период2].[All]" dimensionUniqueName="[исходная_даты]" displayFolder="" count="0" memberValueDatatype="130" unbalanced="0"/>
    <cacheHierarchy uniqueName="[исходная_даты].[период3]" caption="период3" attribute="1" defaultMemberUniqueName="[исходная_даты].[период3].[All]" allUniqueName="[исходная_даты].[период3].[All]" dimensionUniqueName="[исходная_даты]" displayFolder="" count="0" memberValueDatatype="130" unbalanced="0"/>
    <cacheHierarchy uniqueName="[исходная_даты].[промежуток1]" caption="промежуток1" attribute="1" defaultMemberUniqueName="[исходная_даты].[промежуток1].[All]" allUniqueName="[исходная_даты].[промежуток1].[All]" dimensionUniqueName="[исходная_даты]" displayFolder="" count="0" memberValueDatatype="20" unbalanced="0"/>
    <cacheHierarchy uniqueName="[исходная_даты].[промежуток2]" caption="промежуток2" attribute="1" defaultMemberUniqueName="[исходная_даты].[промежуток2].[All]" allUniqueName="[исходная_даты].[промежуток2].[All]" dimensionUniqueName="[исходная_даты]" displayFolder="" count="0" memberValueDatatype="20" unbalanced="0"/>
    <cacheHierarchy uniqueName="[исходная_даты].[ФИО]" caption="ФИО" attribute="1" defaultMemberUniqueName="[исходная_даты].[ФИО].[All]" allUniqueName="[исходная_даты].[ФИО].[All]" dimensionUniqueName="[исходная_даты]" displayFolder="" count="0" memberValueDatatype="130" unbalanced="0"/>
    <cacheHierarchy uniqueName="[исходная_полная].[Count]" caption="Count" attribute="1" defaultMemberUniqueName="[исходная_полная].[Count].[All]" allUniqueName="[исходная_полная].[Count].[All]" dimensionUniqueName="[исходная_полная]" displayFolder="" count="0" memberValueDatatype="20" unbalanced="0"/>
    <cacheHierarchy uniqueName="[исходная_полная].[выходные]" caption="выходные" attribute="1" defaultMemberUniqueName="[исходная_полная].[выходные].[All]" allUniqueName="[исходная_полная].[выходные].[All]" dimensionUniqueName="[исходная_полная]" displayFolder="" count="2" memberValueDatatype="20" unbalanced="0">
      <fieldsUsage count="2">
        <fieldUsage x="-1"/>
        <fieldUsage x="4"/>
      </fieldsUsage>
    </cacheHierarchy>
    <cacheHierarchy uniqueName="[исходная_полная].[дата]" caption="дата" attribute="1" time="1" defaultMemberUniqueName="[исходная_полная].[дата].[All]" allUniqueName="[исходная_полная].[дата].[All]" dimensionUniqueName="[исходная_полная]" displayFolder="" count="0" memberValueDatatype="7" unbalanced="0"/>
    <cacheHierarchy uniqueName="[исходная_полная].[дата (Месяц)]" caption="дата (Месяц)" attribute="1" defaultMemberUniqueName="[исходная_полная].[дата (Месяц)].[All]" allUniqueName="[исходная_полная].[дата (Месяц)].[All]" dimensionUniqueName="[исходная_полная]" displayFolder="" count="2" memberValueDatatype="130" unbalanced="0">
      <fieldsUsage count="2">
        <fieldUsage x="-1"/>
        <fieldUsage x="0"/>
      </fieldsUsage>
    </cacheHierarchy>
    <cacheHierarchy uniqueName="[исходная_полная].[день недели]" caption="день недели" attribute="1" defaultMemberUniqueName="[исходная_полная].[день недели].[All]" allUniqueName="[исходная_полная].[день недели].[All]" dimensionUniqueName="[исходная_полная]" displayFolder="" count="2" memberValueDatatype="20" unbalanced="0">
      <fieldsUsage count="2">
        <fieldUsage x="-1"/>
        <fieldUsage x="3"/>
      </fieldsUsage>
    </cacheHierarchy>
    <cacheHierarchy uniqueName="[исходная_полная].[Отдел]" caption="Отдел" attribute="1" defaultMemberUniqueName="[исходная_полная].[Отдел].[All]" allUniqueName="[исходная_полная].[Отдел].[All]" dimensionUniqueName="[исходная_полная]" displayFolder="" count="2" memberValueDatatype="130" unbalanced="0">
      <fieldsUsage count="2">
        <fieldUsage x="-1"/>
        <fieldUsage x="1"/>
      </fieldsUsage>
    </cacheHierarchy>
    <cacheHierarchy uniqueName="[исходная_полная].[Сумма]" caption="Сумма" attribute="1" defaultMemberUniqueName="[исходная_полная].[Сумма].[All]" allUniqueName="[исходная_полная].[Сумма].[All]" dimensionUniqueName="[исходная_полная]" displayFolder="" count="0" memberValueDatatype="5" unbalanced="0"/>
    <cacheHierarchy uniqueName="[исходная_полная].[явка]" caption="явка" attribute="1" defaultMemberUniqueName="[исходная_полная].[явка].[All]" allUniqueName="[исходная_полная].[явка].[All]" dimensionUniqueName="[исходная_полная]" displayFolder="" count="0" memberValueDatatype="5" unbalanced="0"/>
    <cacheHierarchy uniqueName="[исходная_полная  2].[выходные]" caption="выходные" attribute="1" defaultMemberUniqueName="[исходная_полная  2].[выходные].[All]" allUniqueName="[исходная_полная  2].[выходные].[All]" dimensionUniqueName="[исходная_полная  2]" displayFolder="" count="0" memberValueDatatype="20" unbalanced="0"/>
    <cacheHierarchy uniqueName="[исходная_полная  2].[дата]" caption="дата" attribute="1" time="1" defaultMemberUniqueName="[исходная_полная  2].[дата].[All]" allUniqueName="[исходная_полная  2].[дата].[All]" dimensionUniqueName="[исходная_полная  2]" displayFolder="" count="0" memberValueDatatype="7" unbalanced="0"/>
    <cacheHierarchy uniqueName="[исходная_полная  2].[дата (Месяц)]" caption="дата (Месяц)" attribute="1" defaultMemberUniqueName="[исходная_полная  2].[дата (Месяц)].[All]" allUniqueName="[исходная_полная  2].[дата (Месяц)].[All]" dimensionUniqueName="[исходная_полная  2]" displayFolder="" count="0" memberValueDatatype="130" unbalanced="0"/>
    <cacheHierarchy uniqueName="[исходная_полная  2].[день недели]" caption="день недели" attribute="1" defaultMemberUniqueName="[исходная_полная  2].[день недели].[All]" allUniqueName="[исходная_полная  2].[день недели].[All]" dimensionUniqueName="[исходная_полная  2]" displayFolder="" count="0" memberValueDatatype="20" unbalanced="0"/>
    <cacheHierarchy uniqueName="[исходная_полная  2].[Сумма]" caption="Сумма" attribute="1" defaultMemberUniqueName="[исходная_полная  2].[Сумма].[All]" allUniqueName="[исходная_полная  2].[Сумма].[All]" dimensionUniqueName="[исходная_полная  2]" displayFolder="" count="0" memberValueDatatype="5" unbalanced="0"/>
    <cacheHierarchy uniqueName="[исходная_полная  2].[Явка общая]" caption="Явка общая" attribute="1" defaultMemberUniqueName="[исходная_полная  2].[Явка общая].[All]" allUniqueName="[исходная_полная  2].[Явка общая].[All]" dimensionUniqueName="[исходная_полная  2]" displayFolder="" count="0" memberValueDatatype="5" unbalanced="0"/>
    <cacheHierarchy uniqueName="[уникальные].[Count]" caption="Count" attribute="1" defaultMemberUniqueName="[уникальные].[Count].[All]" allUniqueName="[уникальные].[Count].[All]" dimensionUniqueName="[уникальные]" displayFolder="" count="0" memberValueDatatype="20" unbalanced="0"/>
    <cacheHierarchy uniqueName="[уникальные].[Отдел]" caption="Отдел" attribute="1" defaultMemberUniqueName="[уникальные].[Отдел].[All]" allUniqueName="[уникальные].[Отдел].[All]" dimensionUniqueName="[уникальные]" displayFolder="" count="0" memberValueDatatype="130" unbalanced="0"/>
    <cacheHierarchy uniqueName="[исходная_полная].[дата (Индекс месяца)]" caption="дата (Индекс месяца)" attribute="1" defaultMemberUniqueName="[исходная_полная].[дата (Индекс месяца)].[All]" allUniqueName="[исходная_полная].[дата (Индекс месяца)].[All]" dimensionUniqueName="[исходная_полная]" displayFolder="" count="0" memberValueDatatype="20" unbalanced="0" hidden="1"/>
    <cacheHierarchy uniqueName="[исходная_полная  2].[дата (Индекс месяца)]" caption="дата (Индекс месяца)" attribute="1" defaultMemberUniqueName="[исходная_полная  2].[дата (Индекс месяца)].[All]" allUniqueName="[исходная_полная  2].[дата (Индекс месяца)].[All]" dimensionUniqueName="[исходная_полная  2]" displayFolder="" count="0" memberValueDatatype="20" unbalanced="0" hidden="1"/>
    <cacheHierarchy uniqueName="[Measures].[Строки]" caption="Строки" measure="1" displayFolder="" measureGroup="исходная" count="0"/>
    <cacheHierarchy uniqueName="[Measures].[__XL_Count исходная]" caption="__XL_Count исходная" measure="1" displayFolder="" measureGroup="исходная" count="0" hidden="1"/>
    <cacheHierarchy uniqueName="[Measures].[__XL_Count уникальные]" caption="__XL_Count уникальные" measure="1" displayFolder="" measureGroup="уникальные" count="0" hidden="1"/>
    <cacheHierarchy uniqueName="[Measures].[__XL_Count исходная_полная]" caption="__XL_Count исходная_полная" measure="1" displayFolder="" measureGroup="исходная_полная" count="0" hidden="1"/>
    <cacheHierarchy uniqueName="[Measures].[__XL_Count исходная_полная  2]" caption="__XL_Count исходная_полная  2" measure="1" displayFolder="" measureGroup="исходная_полная  2" count="0" hidden="1"/>
    <cacheHierarchy uniqueName="[Measures].[__XL_Count выходные]" caption="__XL_Count выходные" measure="1" displayFolder="" measureGroup="выходные" count="0" hidden="1"/>
    <cacheHierarchy uniqueName="[Measures].[__XL_Count исходная_даты]" caption="__XL_Count исходная_даты" measure="1" displayFolder="" measureGroup="исходная_даты" count="0" hidden="1"/>
    <cacheHierarchy uniqueName="[Measures].[__No measures defined]" caption="__No measures defined" measure="1" displayFolder="" count="0" hidden="1"/>
    <cacheHierarchy uniqueName="[Measures].[Сумма по столбцу явка]" caption="Сумма по столбцу явк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Среднее по столбцу явка]" caption="Среднее по столбцу явка" measure="1" displayFolder="" measureGroup="исходная_полная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Сумма по столбцу Сумма]" caption="Сумма по столбцу Сумма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Сумма по столбцу Count]" caption="Сумма по столбцу Count" measure="1" displayFolder="" measureGroup="исходная_полная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Сумма по столбцу Явка общая]" caption="Сумма по столбцу Явка общая" measure="1" displayFolder="" measureGroup="исходная_полная 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Среднее по столбцу Явка общая]" caption="Среднее по столбцу Явка общая" measure="1" displayFolder="" measureGroup="исходная_полная 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Число элементов в столбце дата нач.1]" caption="Число элементов в столбце дата нач.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дата нач.1]" caption="Сумма по столбцу дата нач.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дней1]" caption="Сумма по столбцу дней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промежуток1]" caption="Сумма по столбцу промежуток1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Сумма по столбцу дней2]" caption="Сумма по столбцу дней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Сумма по столбцу промежуток2]" caption="Сумма по столбцу промежуток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Сумма по столбцу дней3]" caption="Сумма по столбцу дней3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умма по столбцу дата нач.2]" caption="Сумма по столбцу дата нач.2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дата нач.3]" caption="Сумма по столбцу дата нач.3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ФИО]" caption="Число элементов в столбце ФИО" measure="1" displayFolder="" measureGroup="исходная_даты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measure="1" name="Measures" uniqueName="[Measures]" caption="Measures"/>
    <dimension name="выходные" uniqueName="[выходные]" caption="выходные"/>
    <dimension name="исходная" uniqueName="[исходная]" caption="исходная"/>
    <dimension name="исходная_даты" uniqueName="[исходная_даты]" caption="исходная_даты"/>
    <dimension name="исходная_полная" uniqueName="[исходная_полная]" caption="исходная_полная"/>
    <dimension name="исходная_полная  2" uniqueName="[исходная_полная  2]" caption="исходная_полная  2"/>
    <dimension name="уникальные" uniqueName="[уникальные]" caption="уникальные"/>
  </dimensions>
  <measureGroups count="6">
    <measureGroup name="выходные" caption="выходные"/>
    <measureGroup name="исходная" caption="исходная"/>
    <measureGroup name="исходная_даты" caption="исходная_даты"/>
    <measureGroup name="исходная_полная" caption="исходная_полная"/>
    <measureGroup name="исходная_полная  2" caption="исходная_полная  2"/>
    <measureGroup name="уникальные" caption="уникальные"/>
  </measureGroups>
  <maps count="9">
    <map measureGroup="0" dimension="1"/>
    <map measureGroup="1" dimension="2"/>
    <map measureGroup="2" dimension="3"/>
    <map measureGroup="3" dimension="1"/>
    <map measureGroup="3" dimension="4"/>
    <map measureGroup="3" dimension="6"/>
    <map measureGroup="4" dimension="1"/>
    <map measureGroup="4" dimension="5"/>
    <map measureGroup="5" dimension="6"/>
  </maps>
  <extLst>
    <ext xmlns:x14="http://schemas.microsoft.com/office/spreadsheetml/2009/9/main" uri="{725AE2AE-9491-48be-B2B4-4EB974FC3084}">
      <x14:pivotCacheDefinition pivotCacheId="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FFFF-FFFF00000000}" name="PivotChartTable2" cacheId="5" applyNumberFormats="0" applyBorderFormats="0" applyFontFormats="0" applyPatternFormats="0" applyAlignmentFormats="0" applyWidthHeightFormats="1" dataCaption="Значения" updatedVersion="6" minRefreshableVersion="3" useAutoFormatting="1" subtotalHiddenItems="1" itemPrintTitles="1" createdVersion="5" indent="0" outline="1" outlineData="1" multipleFieldFilters="0" chartFormat="2">
  <location ref="A4:E18" firstHeaderRow="1" firstDataRow="2" firstDataCol="1" rowPageCount="2" colPageCount="1"/>
  <pivotFields count="5">
    <pivotField axis="axisRow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3" hier="24" name="[исходная_полная].[день недели].&amp;[1]" cap="1"/>
    <pageField fld="4" hier="21" name="[исходная_полная].[выходные].&amp;[0]" cap="0"/>
  </pageFields>
  <dataFields count="1">
    <dataField name="Среднее по столбцу явка" fld="2" subtotal="average" baseField="0" baseItem="9" numFmtId="9"/>
  </dataFields>
  <chartFormats count="3"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исходная_полная].[выходные].&amp;[0]"/>
      </members>
    </pivotHierarchy>
    <pivotHierarchy dragToData="1"/>
    <pivotHierarchy dragToData="1"/>
    <pivotHierarchy multipleItemSelectionAllowed="1" dragToData="1">
      <members count="1" level="1">
        <member name="[исходная_полная].[день недели].&amp;[1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Среднее по столбцу явка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23"/>
  </rowHierarchiesUsage>
  <colHierarchiesUsage count="1">
    <colHierarchyUsage hierarchyUsage="2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0%;-0%;0%"/>
      </x15:pivotTableServerFormats>
    </ext>
    <ext xmlns:x15="http://schemas.microsoft.com/office/spreadsheetml/2010/11/main" uri="{44433962-1CF7-4059-B4EE-95C3D5FFCF73}">
      <x15:pivotTableData rowCount="13" columnCount="4" cacheId="2">
        <x15:pivotRow count="4">
          <x15:c>
            <x15:v>0.77083333333333315</x15:v>
            <x15:x in="0"/>
          </x15:c>
          <x15:c>
            <x15:v>0.77678571428571419</x15:v>
            <x15:x in="0"/>
          </x15:c>
          <x15:c>
            <x15:v>0.89583333333333337</x15:v>
            <x15:x in="0"/>
          </x15:c>
          <x15:c>
            <x15:v>0.81448412698412687</x15:v>
            <x15:x in="0"/>
          </x15:c>
        </x15:pivotRow>
        <x15:pivotRow count="4">
          <x15:c>
            <x15:v>0.82456140350877161</x15:v>
            <x15:x in="0"/>
          </x15:c>
          <x15:c>
            <x15:v>0.83458646616541332</x15:v>
            <x15:x in="0"/>
          </x15:c>
          <x15:c>
            <x15:v>0.80701754385964886</x15:v>
            <x15:x in="0"/>
          </x15:c>
          <x15:c>
            <x15:v>0.82205513784461115</x15:v>
            <x15:x in="0"/>
          </x15:c>
        </x15:pivotRow>
        <x15:pivotRow count="4">
          <x15:c>
            <x15:v>0.98412698412698418</x15:v>
            <x15:x in="0"/>
          </x15:c>
          <x15:c>
            <x15:v>0.89795918367346961</x15:v>
            <x15:x in="0"/>
          </x15:c>
          <x15:c>
            <x15:v>1</x15:v>
            <x15:x in="0"/>
          </x15:c>
          <x15:c>
            <x15:v>0.96069538926681786</x15:v>
            <x15:x in="0"/>
          </x15:c>
        </x15:pivotRow>
        <x15:pivotRow count="4">
          <x15:c>
            <x15:v>1</x15:v>
            <x15:x in="0"/>
          </x15:c>
          <x15:c>
            <x15:v>1</x15:v>
            <x15:x in="0"/>
          </x15:c>
          <x15:c>
            <x15:v>0.88888888888888895</x15:v>
            <x15:x in="0"/>
          </x15:c>
          <x15:c>
            <x15:v>0.96296296296296302</x15:v>
            <x15:x in="0"/>
          </x15:c>
        </x15:pivotRow>
        <x15:pivotRow count="4">
          <x15:c>
            <x15:v>1</x15:v>
            <x15:x in="0"/>
          </x15:c>
          <x15:c>
            <x15:v>0.95238095238095233</x15:v>
            <x15:x in="0"/>
          </x15:c>
          <x15:c>
            <x15:v>1</x15:v>
            <x15:x in="0"/>
          </x15:c>
          <x15:c>
            <x15:v>0.98412698412698418</x15:v>
            <x15:x in="0"/>
          </x15:c>
        </x15:pivotRow>
        <x15:pivotRow count="4">
          <x15:c>
            <x15:v>1</x15:v>
            <x15:x in="0"/>
          </x15:c>
          <x15:c>
            <x15:v>0.90476190476190477</x15:v>
            <x15:x in="0"/>
          </x15:c>
          <x15:c>
            <x15:v>1</x15:v>
            <x15:x in="0"/>
          </x15:c>
          <x15:c>
            <x15:v>0.96825396825396837</x15:v>
            <x15:x in="0"/>
          </x15:c>
        </x15:pivotRow>
        <x15:pivotRow count="4">
          <x15:c>
            <x15:v>1</x15:v>
            <x15:x in="0"/>
          </x15:c>
          <x15:c>
            <x15:v>0.95918367346938771</x15:v>
            <x15:x in="0"/>
          </x15:c>
          <x15:c>
            <x15:v>0.90476190476190477</x15:v>
            <x15:x in="0"/>
          </x15:c>
          <x15:c>
            <x15:v>0.9546485260770976</x15:v>
            <x15:x in="0"/>
          </x15:c>
        </x15:pivotRow>
        <x15:pivotRow count="4">
          <x15:c>
            <x15:v>0.88405797101449302</x15:v>
            <x15:x in="0"/>
          </x15:c>
          <x15:c>
            <x15:v>1</x15:v>
            <x15:x in="0"/>
          </x15:c>
          <x15:c>
            <x15:v>0.86956521739130466</x15:v>
            <x15:x in="0"/>
          </x15:c>
          <x15:c>
            <x15:v>0.91787439613526522</x15:v>
            <x15:x in="0"/>
          </x15:c>
        </x15:pivotRow>
        <x15:pivotRow count="4">
          <x15:c>
            <x15:v>0.78787878787878762</x15:v>
            <x15:x in="0"/>
          </x15:c>
          <x15:c>
            <x15:v>0.94805194805194803</x15:v>
            <x15:x in="0"/>
          </x15:c>
          <x15:c>
            <x15:v>0.91666666666666674</x15:v>
            <x15:x in="0"/>
          </x15:c>
          <x15:c>
            <x15:v>0.88419913419913376</x15:v>
            <x15:x in="0"/>
          </x15:c>
        </x15:pivotRow>
        <x15:pivotRow count="4">
          <x15:c>
            <x15:v>1</x15:v>
            <x15:x in="0"/>
          </x15:c>
          <x15:c>
            <x15:v>1</x15:v>
            <x15:x in="0"/>
          </x15:c>
          <x15:c>
            <x15:v>1</x15:v>
            <x15:x in="0"/>
          </x15:c>
          <x15:c>
            <x15:v>1</x15:v>
            <x15:x in="0"/>
          </x15:c>
        </x15:pivotRow>
        <x15:pivotRow count="4">
          <x15:c>
            <x15:v>1</x15:v>
            <x15:x in="0"/>
          </x15:c>
          <x15:c>
            <x15:v>0.97278911564625858</x15:v>
            <x15:x in="0"/>
          </x15:c>
          <x15:c>
            <x15:v>1</x15:v>
            <x15:x in="0"/>
          </x15:c>
          <x15:c>
            <x15:v>0.99092970521541957</x15:v>
            <x15:x in="0"/>
          </x15:c>
        </x15:pivotRow>
        <x15:pivotRow count="4">
          <x15:c>
            <x15:v>1</x15:v>
            <x15:x in="0"/>
          </x15:c>
          <x15:c>
            <x15:v>1</x15:v>
            <x15:x in="0"/>
          </x15:c>
          <x15:c>
            <x15:v>1</x15:v>
            <x15:x in="0"/>
          </x15:c>
          <x15:c>
            <x15:v>1</x15:v>
            <x15:x in="0"/>
          </x15:c>
        </x15:pivotRow>
        <x15:pivotRow count="4">
          <x15:c>
            <x15:v>0.94037940379403628</x15:v>
            <x15:x in="0"/>
          </x15:c>
          <x15:c>
            <x15:v>0.94192799070847932</x15:v>
            <x15:x in="0"/>
          </x15:c>
          <x15:c>
            <x15:v>0.94105691056910512</x15:v>
            <x15:x in="0"/>
          </x15:c>
          <x15:c>
            <x15:v>0.94112143502387402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исходная_полная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FFFF-FFFF01000000}" name="PivotChartTable3" cacheId="4" applyNumberFormats="0" applyBorderFormats="0" applyFontFormats="0" applyPatternFormats="0" applyAlignmentFormats="0" applyWidthHeightFormats="1" dataCaption="Значения" updatedVersion="6" minRefreshableVersion="3" useAutoFormatting="1" subtotalHiddenItems="1" itemPrintTitles="1" createdVersion="5" indent="0" outline="1" outlineData="1" multipleFieldFilters="0" chartFormat="2">
  <location ref="A4:B17" firstHeaderRow="1" firstDataRow="1" firstDataCol="1" rowPageCount="2" colPageCount="1"/>
  <pivotFields count="4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13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2">
    <pageField fld="0" hier="31" name="[исходная_полная  2].[день недели].&amp;[1]" cap="1"/>
    <pageField fld="3" hier="28" name="[исходная_полная  2].[выходные].&amp;[0]" cap="0"/>
  </pageFields>
  <dataFields count="1">
    <dataField name="Среднее по столбцу Явка общая" fld="2" subtotal="average" baseField="0" baseItem="283299072"/>
  </dataField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исходная_полная  2].[выходные].&amp;[0]"/>
      </members>
    </pivotHierarchy>
    <pivotHierarchy dragToData="1"/>
    <pivotHierarchy dragToData="1"/>
    <pivotHierarchy multipleItemSelectionAllowed="1" dragToData="1">
      <members count="1" level="1">
        <member name="[исходная_полная  2].[день недели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Среднее по столбцу Явка общая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0%;-0%;0%"/>
      </x15:pivotTableServerFormats>
    </ext>
    <ext xmlns:x15="http://schemas.microsoft.com/office/spreadsheetml/2010/11/main" uri="{44433962-1CF7-4059-B4EE-95C3D5FFCF73}">
      <x15:pivotTableData rowCount="13" columnCount="1" cacheId="3">
        <x15:pivotRow count="1">
          <x15:c>
            <x15:v>0.8203125</x15:v>
            <x15:x in="0"/>
          </x15:c>
        </x15:pivotRow>
        <x15:pivotRow count="1">
          <x15:c>
            <x15:v>0.82236842105263153</x15:v>
            <x15:x in="0"/>
          </x15:c>
        </x15:pivotRow>
        <x15:pivotRow count="1">
          <x15:c>
            <x15:v>0.95238095238095233</x15:v>
            <x15:x in="0"/>
          </x15:c>
        </x15:pivotRow>
        <x15:pivotRow count="1">
          <x15:c>
            <x15:v>0.95833333333333337</x15:v>
            <x15:x in="0"/>
          </x15:c>
        </x15:pivotRow>
        <x15:pivotRow count="1">
          <x15:c>
            <x15:v>0.97916666666666663</x15:v>
            <x15:x in="0"/>
          </x15:c>
        </x15:pivotRow>
        <x15:pivotRow count="1">
          <x15:c>
            <x15:v>0.95833333333333337</x15:v>
            <x15:x in="0"/>
          </x15:c>
        </x15:pivotRow>
        <x15:pivotRow count="1">
          <x15:c>
            <x15:v>0.9464285714285714</x15:v>
            <x15:x in="0"/>
          </x15:c>
        </x15:pivotRow>
        <x15:pivotRow count="1">
          <x15:c>
            <x15:v>0.92934782608695654</x15:v>
            <x15:x in="0"/>
          </x15:c>
        </x15:pivotRow>
        <x15:pivotRow count="1">
          <x15:c>
            <x15:v>0.90625</x15:v>
            <x15:x in="0"/>
          </x15:c>
        </x15:pivotRow>
        <x15:pivotRow count="1">
          <x15:c>
            <x15:v>1</x15:v>
            <x15:x in="0"/>
          </x15:c>
        </x15:pivotRow>
        <x15:pivotRow count="1">
          <x15:c>
            <x15:v>0.98809523809523814</x15:v>
            <x15:x in="0"/>
          </x15:c>
        </x15:pivotRow>
        <x15:pivotRow count="1">
          <x15:c>
            <x15:v>1</x15:v>
            <x15:x in="0"/>
          </x15:c>
        </x15:pivotRow>
        <x15:pivotRow count="1">
          <x15:c>
            <x15:v>0.94131097560975607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исходная_полная  2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Сводная таблица2" cacheId="1" applyNumberFormats="0" applyBorderFormats="0" applyFontFormats="0" applyPatternFormats="0" applyAlignmentFormats="0" applyWidthHeightFormats="1" dataCaption="Значения" tag="d32d865b-21ad-4570-9f0e-a83066e2a6e6" updatedVersion="6" minRefreshableVersion="3" showDrill="0" useAutoFormatting="1" subtotalHiddenItems="1" rowGrandTotals="0" colGrandTotals="0" itemPrintTitles="1" createdVersion="5" indent="0" compact="0" compactData="0" multipleFieldFilters="0">
  <location ref="O2:S18" firstHeaderRow="1" firstDataRow="1" firstDataCol="5"/>
  <pivotFields count="5">
    <pivotField axis="axisRow" compact="0" allDrilled="1" outline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ascending" defaultSubtotal="0" defaultAttributeDrillState="1">
      <items count="16">
        <item x="3"/>
        <item x="10"/>
        <item x="11"/>
        <item x="12"/>
        <item x="4"/>
        <item x="13"/>
        <item x="14"/>
        <item x="0"/>
        <item x="1"/>
        <item x="15"/>
        <item x="5"/>
        <item x="6"/>
        <item x="7"/>
        <item x="8"/>
        <item x="9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4"/>
    <field x="3"/>
    <field x="0"/>
    <field x="1"/>
    <field x="2"/>
  </rowFields>
  <rowItems count="16">
    <i>
      <x/>
      <x v="7"/>
      <x/>
      <x/>
      <x/>
    </i>
    <i r="1">
      <x v="8"/>
      <x v="1"/>
      <x v="1"/>
      <x/>
    </i>
    <i r="1">
      <x v="15"/>
      <x v="2"/>
      <x/>
      <x/>
    </i>
    <i>
      <x v="1"/>
      <x/>
      <x v="3"/>
      <x v="2"/>
      <x v="1"/>
    </i>
    <i r="1">
      <x v="4"/>
      <x v="4"/>
      <x v="3"/>
      <x/>
    </i>
    <i r="1">
      <x v="10"/>
      <x v="5"/>
      <x/>
      <x/>
    </i>
    <i r="1">
      <x v="11"/>
      <x v="6"/>
      <x v="4"/>
      <x/>
    </i>
    <i r="1">
      <x v="12"/>
      <x v="7"/>
      <x v="5"/>
      <x v="2"/>
    </i>
    <i r="1">
      <x v="13"/>
      <x v="8"/>
      <x/>
      <x/>
    </i>
    <i r="1">
      <x v="14"/>
      <x v="9"/>
      <x v="6"/>
      <x/>
    </i>
    <i>
      <x v="2"/>
      <x v="1"/>
      <x v="10"/>
      <x v="7"/>
      <x/>
    </i>
    <i r="1">
      <x v="2"/>
      <x v="11"/>
      <x v="8"/>
      <x/>
    </i>
    <i r="1">
      <x v="3"/>
      <x v="6"/>
      <x/>
      <x/>
    </i>
    <i r="1">
      <x v="5"/>
      <x v="5"/>
      <x/>
      <x/>
    </i>
    <i r="1">
      <x v="6"/>
      <x v="12"/>
      <x v="9"/>
      <x/>
    </i>
    <i r="1">
      <x v="9"/>
      <x v="13"/>
      <x/>
      <x/>
    </i>
  </rowItem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Плоский стиль сводного представления" showRowHeaders="1" showColHeaders="1" showRowStripes="1" showColStripes="0" showLastColumn="1"/>
  <rowHierarchiesUsage count="5">
    <rowHierarchyUsage hierarchyUsage="13"/>
    <rowHierarchyUsage hierarchyUsage="19"/>
    <rowHierarchyUsage hierarchyUsage="14"/>
    <rowHierarchyUsage hierarchyUsage="15"/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исходная_даты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Сводная таблица1" cacheId="0" applyNumberFormats="0" applyBorderFormats="0" applyFontFormats="0" applyPatternFormats="0" applyAlignmentFormats="0" applyWidthHeightFormats="1" dataCaption="Значения" tag="02deaa41-1dee-404f-9d05-6b85e207d6e1" updatedVersion="6" minRefreshableVersion="3" useAutoFormatting="1" subtotalHiddenItems="1" rowGrandTotals="0" colGrandTotals="0" itemPrintTitles="1" createdVersion="5" indent="0" outline="1" outlineData="1" multipleFieldFilters="0" chartFormat="2">
  <location ref="C2:I21" firstHeaderRow="0" firstDataRow="1" firstDataCol="1"/>
  <pivotFields count="8">
    <pivotField axis="axisRow" allDrilled="1" showAll="0" sortType="ascending" defaultAttributeDrillState="1">
      <items count="17">
        <item x="3"/>
        <item x="10"/>
        <item x="11"/>
        <item x="12"/>
        <item x="4"/>
        <item x="13"/>
        <item x="14"/>
        <item x="0"/>
        <item x="1"/>
        <item x="15"/>
        <item x="5"/>
        <item x="6"/>
        <item x="7"/>
        <item x="8"/>
        <item x="9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 defaultAttributeDrillState="1">
      <items count="4">
        <item x="0"/>
        <item x="1"/>
        <item x="2"/>
        <item t="default"/>
      </items>
    </pivotField>
  </pivotFields>
  <rowFields count="2">
    <field x="7"/>
    <field x="0"/>
  </rowFields>
  <rowItems count="19">
    <i>
      <x/>
    </i>
    <i r="1">
      <x v="7"/>
    </i>
    <i r="1">
      <x v="8"/>
    </i>
    <i r="1">
      <x v="15"/>
    </i>
    <i>
      <x v="1"/>
    </i>
    <i r="1">
      <x/>
    </i>
    <i r="1">
      <x v="4"/>
    </i>
    <i r="1">
      <x v="10"/>
    </i>
    <i r="1">
      <x v="11"/>
    </i>
    <i r="1">
      <x v="12"/>
    </i>
    <i r="1">
      <x v="13"/>
    </i>
    <i r="1">
      <x v="14"/>
    </i>
    <i>
      <x v="2"/>
    </i>
    <i r="1">
      <x v="1"/>
    </i>
    <i r="1">
      <x v="2"/>
    </i>
    <i r="1">
      <x v="3"/>
    </i>
    <i r="1">
      <x v="5"/>
    </i>
    <i r="1">
      <x v="6"/>
    </i>
    <i r="1">
      <x v="9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дата нач.1 " fld="1" baseField="0" baseItem="2"/>
    <dataField name="дней1 " fld="2" baseField="0" baseItem="2"/>
    <dataField name="промежуток1 " fld="3" baseField="0" baseItem="2"/>
    <dataField name="дней2 " fld="4" baseField="0" baseItem="2"/>
    <dataField name="промежуток2 " fld="5" baseField="0" baseItem="2"/>
    <dataField name="дней3 " fld="6" baseField="0" baseItem="2"/>
  </dataFields>
  <chartFormats count="93">
    <chartFormat chart="1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2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3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3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35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36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37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38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39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40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41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42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43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44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45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46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47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48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52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53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54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55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56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57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58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59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60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61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62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66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67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68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69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70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71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72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73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2"/>
          </reference>
        </references>
      </pivotArea>
    </chartFormat>
    <chartFormat chart="1" format="74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75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76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77">
      <pivotArea type="data" outline="0" fieldPosition="0">
        <references count="3">
          <reference field="4294967294" count="1" selected="0">
            <x v="1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78">
      <pivotArea type="data" outline="0" fieldPosition="0">
        <references count="3">
          <reference field="4294967294" count="1" selected="0">
            <x v="3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79">
      <pivotArea type="data" outline="0" fieldPosition="0">
        <references count="3">
          <reference field="4294967294" count="1" selected="0">
            <x v="5"/>
          </reference>
          <reference field="0" count="1" selected="0">
            <x v="1048832"/>
          </reference>
          <reference field="7" count="1" selected="0">
            <x v="0"/>
          </reference>
        </references>
      </pivotArea>
    </chartFormat>
    <chartFormat chart="1" format="80">
      <pivotArea type="data" outline="0" fieldPosition="0">
        <references count="3">
          <reference field="4294967294" count="1" selected="0">
            <x v="1"/>
          </reference>
          <reference field="0" count="1" selected="0">
            <x v="7"/>
          </reference>
          <reference field="7" count="1" selected="0">
            <x v="0"/>
          </reference>
        </references>
      </pivotArea>
    </chartFormat>
    <chartFormat chart="1" format="81">
      <pivotArea type="data" outline="0" fieldPosition="0">
        <references count="3">
          <reference field="4294967294" count="1" selected="0">
            <x v="1"/>
          </reference>
          <reference field="0" count="1" selected="0">
            <x v="8"/>
          </reference>
          <reference field="7" count="1" selected="0">
            <x v="0"/>
          </reference>
        </references>
      </pivotArea>
    </chartFormat>
    <chartFormat chart="1" format="82">
      <pivotArea type="data" outline="0" fieldPosition="0">
        <references count="3">
          <reference field="4294967294" count="1" selected="0">
            <x v="1"/>
          </reference>
          <reference field="0" count="1" selected="0">
            <x v="15"/>
          </reference>
          <reference field="7" count="1" selected="0">
            <x v="0"/>
          </reference>
        </references>
      </pivotArea>
    </chartFormat>
    <chartFormat chart="1" format="83">
      <pivotArea type="data"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7" count="1" selected="0">
            <x v="1"/>
          </reference>
        </references>
      </pivotArea>
    </chartFormat>
    <chartFormat chart="1" format="84">
      <pivotArea type="data" outline="0" fieldPosition="0">
        <references count="3">
          <reference field="4294967294" count="1" selected="0">
            <x v="1"/>
          </reference>
          <reference field="0" count="1" selected="0">
            <x v="4"/>
          </reference>
          <reference field="7" count="1" selected="0">
            <x v="1"/>
          </reference>
        </references>
      </pivotArea>
    </chartFormat>
    <chartFormat chart="1" format="85">
      <pivotArea type="data" outline="0" fieldPosition="0">
        <references count="3">
          <reference field="4294967294" count="1" selected="0">
            <x v="1"/>
          </reference>
          <reference field="0" count="1" selected="0">
            <x v="10"/>
          </reference>
          <reference field="7" count="1" selected="0">
            <x v="1"/>
          </reference>
        </references>
      </pivotArea>
    </chartFormat>
    <chartFormat chart="1" format="86">
      <pivotArea type="data" outline="0" fieldPosition="0">
        <references count="3">
          <reference field="4294967294" count="1" selected="0">
            <x v="1"/>
          </reference>
          <reference field="0" count="1" selected="0">
            <x v="11"/>
          </reference>
          <reference field="7" count="1" selected="0">
            <x v="1"/>
          </reference>
        </references>
      </pivotArea>
    </chartFormat>
    <chartFormat chart="1" format="87">
      <pivotArea type="data" outline="0" fieldPosition="0">
        <references count="3">
          <reference field="4294967294" count="1" selected="0">
            <x v="1"/>
          </reference>
          <reference field="0" count="1" selected="0">
            <x v="12"/>
          </reference>
          <reference field="7" count="1" selected="0">
            <x v="1"/>
          </reference>
        </references>
      </pivotArea>
    </chartFormat>
    <chartFormat chart="1" format="88">
      <pivotArea type="data" outline="0" fieldPosition="0">
        <references count="3">
          <reference field="4294967294" count="1" selected="0">
            <x v="1"/>
          </reference>
          <reference field="0" count="1" selected="0">
            <x v="13"/>
          </reference>
          <reference field="7" count="1" selected="0">
            <x v="1"/>
          </reference>
        </references>
      </pivotArea>
    </chartFormat>
    <chartFormat chart="1" format="89">
      <pivotArea type="data" outline="0" fieldPosition="0">
        <references count="3">
          <reference field="4294967294" count="1" selected="0">
            <x v="1"/>
          </reference>
          <reference field="0" count="1" selected="0">
            <x v="14"/>
          </reference>
          <reference field="7" count="1" selected="0">
            <x v="1"/>
          </reference>
        </references>
      </pivotArea>
    </chartFormat>
    <chartFormat chart="1" format="90">
      <pivotArea type="data" outline="0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7" count="1" selected="0">
            <x v="2"/>
          </reference>
        </references>
      </pivotArea>
    </chartFormat>
    <chartFormat chart="1" format="91">
      <pivotArea type="data" outline="0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7" count="1" selected="0">
            <x v="2"/>
          </reference>
        </references>
      </pivotArea>
    </chartFormat>
    <chartFormat chart="1" format="92">
      <pivotArea type="data" outline="0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7" count="1" selected="0">
            <x v="2"/>
          </reference>
        </references>
      </pivotArea>
    </chartFormat>
    <chartFormat chart="1" format="93">
      <pivotArea type="data" outline="0" fieldPosition="0">
        <references count="3">
          <reference field="4294967294" count="1" selected="0">
            <x v="1"/>
          </reference>
          <reference field="0" count="1" selected="0">
            <x v="5"/>
          </reference>
          <reference field="7" count="1" selected="0">
            <x v="2"/>
          </reference>
        </references>
      </pivotArea>
    </chartFormat>
    <chartFormat chart="1" format="94">
      <pivotArea type="data" outline="0" fieldPosition="0">
        <references count="3">
          <reference field="4294967294" count="1" selected="0">
            <x v="1"/>
          </reference>
          <reference field="0" count="1" selected="0">
            <x v="6"/>
          </reference>
          <reference field="7" count="1" selected="0">
            <x v="2"/>
          </reference>
        </references>
      </pivotArea>
    </chartFormat>
    <chartFormat chart="1" format="95">
      <pivotArea type="data" outline="0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7" count="1" selected="0">
            <x v="2"/>
          </reference>
        </references>
      </pivotArea>
    </chartFormat>
    <chartFormat chart="1" format="96">
      <pivotArea type="data" outline="0" fieldPosition="0">
        <references count="3">
          <reference field="4294967294" count="1" selected="0">
            <x v="3"/>
          </reference>
          <reference field="0" count="1" selected="0">
            <x v="7"/>
          </reference>
          <reference field="7" count="1" selected="0">
            <x v="0"/>
          </reference>
        </references>
      </pivotArea>
    </chartFormat>
    <chartFormat chart="1" format="97">
      <pivotArea type="data" outline="0" fieldPosition="0">
        <references count="3">
          <reference field="4294967294" count="1" selected="0">
            <x v="3"/>
          </reference>
          <reference field="0" count="1" selected="0">
            <x v="8"/>
          </reference>
          <reference field="7" count="1" selected="0">
            <x v="0"/>
          </reference>
        </references>
      </pivotArea>
    </chartFormat>
    <chartFormat chart="1" format="98">
      <pivotArea type="data" outline="0" fieldPosition="0">
        <references count="3">
          <reference field="4294967294" count="1" selected="0">
            <x v="3"/>
          </reference>
          <reference field="0" count="1" selected="0">
            <x v="15"/>
          </reference>
          <reference field="7" count="1" selected="0">
            <x v="0"/>
          </reference>
        </references>
      </pivotArea>
    </chartFormat>
    <chartFormat chart="1" format="99">
      <pivotArea type="data" outline="0" fieldPosition="0">
        <references count="3">
          <reference field="4294967294" count="1" selected="0">
            <x v="3"/>
          </reference>
          <reference field="0" count="1" selected="0">
            <x v="0"/>
          </reference>
          <reference field="7" count="1" selected="0">
            <x v="1"/>
          </reference>
        </references>
      </pivotArea>
    </chartFormat>
    <chartFormat chart="1" format="100">
      <pivotArea type="data" outline="0" fieldPosition="0">
        <references count="3">
          <reference field="4294967294" count="1" selected="0">
            <x v="3"/>
          </reference>
          <reference field="0" count="1" selected="0">
            <x v="4"/>
          </reference>
          <reference field="7" count="1" selected="0">
            <x v="1"/>
          </reference>
        </references>
      </pivotArea>
    </chartFormat>
    <chartFormat chart="1" format="101">
      <pivotArea type="data" outline="0" fieldPosition="0">
        <references count="3">
          <reference field="4294967294" count="1" selected="0">
            <x v="3"/>
          </reference>
          <reference field="0" count="1" selected="0">
            <x v="10"/>
          </reference>
          <reference field="7" count="1" selected="0">
            <x v="1"/>
          </reference>
        </references>
      </pivotArea>
    </chartFormat>
    <chartFormat chart="1" format="102">
      <pivotArea type="data" outline="0" fieldPosition="0">
        <references count="3">
          <reference field="4294967294" count="1" selected="0">
            <x v="3"/>
          </reference>
          <reference field="0" count="1" selected="0">
            <x v="11"/>
          </reference>
          <reference field="7" count="1" selected="0">
            <x v="1"/>
          </reference>
        </references>
      </pivotArea>
    </chartFormat>
    <chartFormat chart="1" format="103">
      <pivotArea type="data" outline="0" fieldPosition="0">
        <references count="3">
          <reference field="4294967294" count="1" selected="0">
            <x v="3"/>
          </reference>
          <reference field="0" count="1" selected="0">
            <x v="12"/>
          </reference>
          <reference field="7" count="1" selected="0">
            <x v="1"/>
          </reference>
        </references>
      </pivotArea>
    </chartFormat>
    <chartFormat chart="1" format="104">
      <pivotArea type="data" outline="0" fieldPosition="0">
        <references count="3">
          <reference field="4294967294" count="1" selected="0">
            <x v="3"/>
          </reference>
          <reference field="0" count="1" selected="0">
            <x v="13"/>
          </reference>
          <reference field="7" count="1" selected="0">
            <x v="1"/>
          </reference>
        </references>
      </pivotArea>
    </chartFormat>
    <chartFormat chart="1" format="105">
      <pivotArea type="data" outline="0" fieldPosition="0">
        <references count="3">
          <reference field="4294967294" count="1" selected="0">
            <x v="3"/>
          </reference>
          <reference field="0" count="1" selected="0">
            <x v="14"/>
          </reference>
          <reference field="7" count="1" selected="0">
            <x v="1"/>
          </reference>
        </references>
      </pivotArea>
    </chartFormat>
    <chartFormat chart="1" format="106">
      <pivotArea type="data" outline="0" fieldPosition="0">
        <references count="3">
          <reference field="4294967294" count="1" selected="0">
            <x v="3"/>
          </reference>
          <reference field="0" count="1" selected="0">
            <x v="1"/>
          </reference>
          <reference field="7" count="1" selected="0">
            <x v="2"/>
          </reference>
        </references>
      </pivotArea>
    </chartFormat>
    <chartFormat chart="1" format="107">
      <pivotArea type="data" outline="0" fieldPosition="0">
        <references count="3">
          <reference field="4294967294" count="1" selected="0">
            <x v="3"/>
          </reference>
          <reference field="0" count="1" selected="0">
            <x v="2"/>
          </reference>
          <reference field="7" count="1" selected="0">
            <x v="2"/>
          </reference>
        </references>
      </pivotArea>
    </chartFormat>
    <chartFormat chart="1" format="108">
      <pivotArea type="data" outline="0" fieldPosition="0">
        <references count="3">
          <reference field="4294967294" count="1" selected="0">
            <x v="3"/>
          </reference>
          <reference field="0" count="1" selected="0">
            <x v="3"/>
          </reference>
          <reference field="7" count="1" selected="0">
            <x v="2"/>
          </reference>
        </references>
      </pivotArea>
    </chartFormat>
    <chartFormat chart="1" format="109">
      <pivotArea type="data" outline="0" fieldPosition="0">
        <references count="3">
          <reference field="4294967294" count="1" selected="0">
            <x v="3"/>
          </reference>
          <reference field="0" count="1" selected="0">
            <x v="5"/>
          </reference>
          <reference field="7" count="1" selected="0">
            <x v="2"/>
          </reference>
        </references>
      </pivotArea>
    </chartFormat>
    <chartFormat chart="1" format="110">
      <pivotArea type="data" outline="0" fieldPosition="0">
        <references count="3">
          <reference field="4294967294" count="1" selected="0">
            <x v="3"/>
          </reference>
          <reference field="0" count="1" selected="0">
            <x v="6"/>
          </reference>
          <reference field="7" count="1" selected="0">
            <x v="2"/>
          </reference>
        </references>
      </pivotArea>
    </chartFormat>
    <chartFormat chart="1" format="111">
      <pivotArea type="data" outline="0" fieldPosition="0">
        <references count="3">
          <reference field="4294967294" count="1" selected="0">
            <x v="3"/>
          </reference>
          <reference field="0" count="1" selected="0">
            <x v="9"/>
          </reference>
          <reference field="7" count="1" selected="0">
            <x v="2"/>
          </reference>
        </references>
      </pivotArea>
    </chartFormat>
    <chartFormat chart="1" format="112">
      <pivotArea type="data" outline="0" fieldPosition="0">
        <references count="3">
          <reference field="4294967294" count="1" selected="0">
            <x v="5"/>
          </reference>
          <reference field="0" count="1" selected="0">
            <x v="7"/>
          </reference>
          <reference field="7" count="1" selected="0">
            <x v="0"/>
          </reference>
        </references>
      </pivotArea>
    </chartFormat>
    <chartFormat chart="1" format="113">
      <pivotArea type="data" outline="0" fieldPosition="0">
        <references count="3">
          <reference field="4294967294" count="1" selected="0">
            <x v="5"/>
          </reference>
          <reference field="0" count="1" selected="0">
            <x v="8"/>
          </reference>
          <reference field="7" count="1" selected="0">
            <x v="0"/>
          </reference>
        </references>
      </pivotArea>
    </chartFormat>
    <chartFormat chart="1" format="114">
      <pivotArea type="data" outline="0" fieldPosition="0">
        <references count="3">
          <reference field="4294967294" count="1" selected="0">
            <x v="5"/>
          </reference>
          <reference field="0" count="1" selected="0">
            <x v="15"/>
          </reference>
          <reference field="7" count="1" selected="0">
            <x v="0"/>
          </reference>
        </references>
      </pivotArea>
    </chartFormat>
    <chartFormat chart="1" format="115">
      <pivotArea type="data" outline="0" fieldPosition="0">
        <references count="3">
          <reference field="4294967294" count="1" selected="0">
            <x v="5"/>
          </reference>
          <reference field="0" count="1" selected="0">
            <x v="0"/>
          </reference>
          <reference field="7" count="1" selected="0">
            <x v="1"/>
          </reference>
        </references>
      </pivotArea>
    </chartFormat>
    <chartFormat chart="1" format="116">
      <pivotArea type="data" outline="0" fieldPosition="0">
        <references count="3">
          <reference field="4294967294" count="1" selected="0">
            <x v="5"/>
          </reference>
          <reference field="0" count="1" selected="0">
            <x v="4"/>
          </reference>
          <reference field="7" count="1" selected="0">
            <x v="1"/>
          </reference>
        </references>
      </pivotArea>
    </chartFormat>
    <chartFormat chart="1" format="117">
      <pivotArea type="data" outline="0" fieldPosition="0">
        <references count="3">
          <reference field="4294967294" count="1" selected="0">
            <x v="5"/>
          </reference>
          <reference field="0" count="1" selected="0">
            <x v="10"/>
          </reference>
          <reference field="7" count="1" selected="0">
            <x v="1"/>
          </reference>
        </references>
      </pivotArea>
    </chartFormat>
    <chartFormat chart="1" format="118">
      <pivotArea type="data" outline="0" fieldPosition="0">
        <references count="3">
          <reference field="4294967294" count="1" selected="0">
            <x v="5"/>
          </reference>
          <reference field="0" count="1" selected="0">
            <x v="11"/>
          </reference>
          <reference field="7" count="1" selected="0">
            <x v="1"/>
          </reference>
        </references>
      </pivotArea>
    </chartFormat>
    <chartFormat chart="1" format="119">
      <pivotArea type="data" outline="0" fieldPosition="0">
        <references count="3">
          <reference field="4294967294" count="1" selected="0">
            <x v="5"/>
          </reference>
          <reference field="0" count="1" selected="0">
            <x v="12"/>
          </reference>
          <reference field="7" count="1" selected="0">
            <x v="1"/>
          </reference>
        </references>
      </pivotArea>
    </chartFormat>
    <chartFormat chart="1" format="120">
      <pivotArea type="data" outline="0" fieldPosition="0">
        <references count="3">
          <reference field="4294967294" count="1" selected="0">
            <x v="5"/>
          </reference>
          <reference field="0" count="1" selected="0">
            <x v="13"/>
          </reference>
          <reference field="7" count="1" selected="0">
            <x v="1"/>
          </reference>
        </references>
      </pivotArea>
    </chartFormat>
    <chartFormat chart="1" format="121">
      <pivotArea type="data" outline="0" fieldPosition="0">
        <references count="3">
          <reference field="4294967294" count="1" selected="0">
            <x v="5"/>
          </reference>
          <reference field="0" count="1" selected="0">
            <x v="14"/>
          </reference>
          <reference field="7" count="1" selected="0">
            <x v="1"/>
          </reference>
        </references>
      </pivotArea>
    </chartFormat>
    <chartFormat chart="1" format="122">
      <pivotArea type="data" outline="0" fieldPosition="0">
        <references count="3">
          <reference field="4294967294" count="1" selected="0">
            <x v="5"/>
          </reference>
          <reference field="0" count="1" selected="0">
            <x v="1"/>
          </reference>
          <reference field="7" count="1" selected="0">
            <x v="2"/>
          </reference>
        </references>
      </pivotArea>
    </chartFormat>
    <chartFormat chart="1" format="123">
      <pivotArea type="data" outline="0" fieldPosition="0">
        <references count="3">
          <reference field="4294967294" count="1" selected="0">
            <x v="5"/>
          </reference>
          <reference field="0" count="1" selected="0">
            <x v="2"/>
          </reference>
          <reference field="7" count="1" selected="0">
            <x v="2"/>
          </reference>
        </references>
      </pivotArea>
    </chartFormat>
    <chartFormat chart="1" format="124">
      <pivotArea type="data" outline="0" fieldPosition="0">
        <references count="3">
          <reference field="4294967294" count="1" selected="0">
            <x v="5"/>
          </reference>
          <reference field="0" count="1" selected="0">
            <x v="3"/>
          </reference>
          <reference field="7" count="1" selected="0">
            <x v="2"/>
          </reference>
        </references>
      </pivotArea>
    </chartFormat>
    <chartFormat chart="1" format="125">
      <pivotArea type="data" outline="0" fieldPosition="0">
        <references count="3">
          <reference field="4294967294" count="1" selected="0">
            <x v="5"/>
          </reference>
          <reference field="0" count="1" selected="0">
            <x v="5"/>
          </reference>
          <reference field="7" count="1" selected="0">
            <x v="2"/>
          </reference>
        </references>
      </pivotArea>
    </chartFormat>
    <chartFormat chart="1" format="126">
      <pivotArea type="data" outline="0" fieldPosition="0">
        <references count="3">
          <reference field="4294967294" count="1" selected="0">
            <x v="5"/>
          </reference>
          <reference field="0" count="1" selected="0">
            <x v="6"/>
          </reference>
          <reference field="7" count="1" selected="0">
            <x v="2"/>
          </reference>
        </references>
      </pivotArea>
    </chartFormat>
    <chartFormat chart="1" format="127">
      <pivotArea type="data" outline="0" fieldPosition="0">
        <references count="3">
          <reference field="4294967294" count="1" selected="0">
            <x v="5"/>
          </reference>
          <reference field="0" count="1" selected="0">
            <x v="9"/>
          </reference>
          <reference field="7" count="1" selected="0">
            <x v="2"/>
          </reference>
        </references>
      </pivotArea>
    </chartFormat>
  </chart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дата нач.1 "/>
    <pivotHierarchy dragToData="1" caption="дней1 "/>
    <pivotHierarchy dragToData="1" caption="промежуток1 "/>
    <pivotHierarchy dragToData="1" caption="дней2 "/>
    <pivotHierarchy dragToData="1" caption="промежуток2 "/>
    <pivotHierarchy dragToData="1" caption="дней3 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3"/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исходная_даты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Отдел" xr10:uid="{00000000-0013-0000-FFFF-FFFF01000000}" sourceName="[исходная_полная].[Отдел]">
  <data>
    <olap pivotCacheId="800060387">
      <levels count="2">
        <level uniqueName="[исходная_полная].[Отдел].[(All)]" sourceCaption="(All)" count="0"/>
        <level uniqueName="[исходная_полная].[Отдел].[Отдел]" sourceCaption="Отдел" count="3">
          <ranges>
            <range startItem="0">
              <i n="[исходная_полная].[Отдел].&amp;[ГМО]" c="ГМО"/>
              <i n="[исходная_полная].[Отдел].&amp;[ОТК]" c="ОТК"/>
              <i n="[исходная_полная].[Отдел].&amp;[ПДО]" c="ПДО"/>
            </range>
          </ranges>
        </level>
      </levels>
      <selections count="1">
        <selection n="[исходная_полная].[Отдел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Отдел2" xr10:uid="{00000000-0013-0000-FFFF-FFFF02000000}" sourceName="[исходная_даты].[Отдел]">
  <pivotTables>
    <pivotTable tabId="6" name="Сводная таблица1"/>
    <pivotTable tabId="6" name="Сводная таблица2"/>
  </pivotTables>
  <data>
    <olap pivotCacheId="1626158161">
      <levels count="2">
        <level uniqueName="[исходная_даты].[Отдел].[(All)]" sourceCaption="(All)" count="0"/>
        <level uniqueName="[исходная_даты].[Отдел].[Отдел]" sourceCaption="Отдел" count="3">
          <ranges>
            <range startItem="0">
              <i n="[исходная_даты].[Отдел].&amp;[ГМО]" c="ГМО"/>
              <i n="[исходная_даты].[Отдел].&amp;[ОТК]" c="ОТК"/>
              <i n="[исходная_даты].[Отдел].&amp;[ПДО]" c="ПДО"/>
            </range>
          </ranges>
        </level>
      </levels>
      <selections count="1">
        <selection n="[исходная_даты].[Отдел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ИО" xr10:uid="{00000000-0013-0000-FFFF-FFFF03000000}" sourceName="[исходная_даты].[ФИО]">
  <pivotTables>
    <pivotTable tabId="6" name="Сводная таблица1"/>
    <pivotTable tabId="6" name="Сводная таблица2"/>
  </pivotTables>
  <data>
    <olap pivotCacheId="1626158161">
      <levels count="2">
        <level uniqueName="[исходная_даты].[ФИО].[(All)]" sourceCaption="(All)" count="0"/>
        <level uniqueName="[исходная_даты].[ФИО].[ФИО]" sourceCaption="ФИО" count="16">
          <ranges>
            <range startItem="0">
              <i n="[исходная_даты].[ФИО].&amp;[Гаврилов М. Р.]" c="Гаврилов М. Р."/>
              <i n="[исходная_даты].[ФИО].&amp;[Григорьева Л. Г.]" c="Григорьева Л. Г."/>
              <i n="[исходная_даты].[ФИО].&amp;[Евсеева В. Д.]" c="Евсеева В. Д."/>
              <i n="[исходная_даты].[ФИО].&amp;[Ершова А. М.]" c="Ершова А. М."/>
              <i n="[исходная_даты].[ФИО].&amp;[Золотов А. И.]" c="Золотов А. И."/>
              <i n="[исходная_даты].[ФИО].&amp;[Иванова А. М.]" c="Иванова А. М."/>
              <i n="[исходная_даты].[ФИО].&amp;[Игнатьева М. Л.]" c="Игнатьева М. Л."/>
              <i n="[исходная_даты].[ФИО].&amp;[Клюев И. Н.]" c="Клюев И. Н."/>
              <i n="[исходная_даты].[ФИО].&amp;[Князева А. Д.]" c="Князева А. Д."/>
              <i n="[исходная_даты].[ФИО].&amp;[Кондратова С. А.]" c="Кондратова С. А."/>
              <i n="[исходная_даты].[ФИО].&amp;[Орлова А. М.]" c="Орлова А. М."/>
              <i n="[исходная_даты].[ФИО].&amp;[Попова С. Т.]" c="Попова С. Т."/>
              <i n="[исходная_даты].[ФИО].&amp;[Савельев М. Б.]" c="Савельев М. Б."/>
              <i n="[исходная_даты].[ФИО].&amp;[Сидорова Н. Е.]" c="Сидорова Н. Е."/>
              <i n="[исходная_даты].[ФИО].&amp;[Смирнов М. Я.]" c="Смирнов М. Я."/>
              <i n="[исходная_даты].[ФИО].&amp;[Федорова П. Р.]" c="Федорова П. Р."/>
            </range>
          </ranges>
        </level>
      </levels>
      <selections count="1">
        <selection n="[исходная_даты].[ФИО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Отдел" xr10:uid="{00000000-0014-0000-FFFF-FFFF01000000}" cache="Срез_Отдел" caption="Отдел" level="1" style="SlicerStyleOther1" rowHeight="241300"/>
  <slicer name="Отдел 2" xr10:uid="{00000000-0014-0000-FFFF-FFFF02000000}" cache="Срез_Отдел2" caption="Отдел" level="1" style="SlicerStyleLight6" rowHeight="241300"/>
  <slicer name="ФИО" xr10:uid="{00000000-0014-0000-FFFF-FFFF03000000}" cache="Срез_ФИО" caption="ФИО" columnCount="2" level="1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A7:OE23" totalsRowShown="0" headerRowDxfId="401" dataDxfId="399" headerRowBorderDxfId="400" tableBorderDxfId="398" totalsRowBorderDxfId="397">
  <autoFilter ref="A7:OE23" xr:uid="{00000000-0009-0000-0100-000002000000}"/>
  <tableColumns count="395">
    <tableColumn id="1" xr3:uid="{00000000-0010-0000-0000-000001000000}" name="№" dataDxfId="396"/>
    <tableColumn id="2" xr3:uid="{00000000-0010-0000-0000-000002000000}" name="Отдел" dataDxfId="395"/>
    <tableColumn id="3" xr3:uid="{00000000-0010-0000-0000-000003000000}" name="ФИО" dataDxfId="394"/>
    <tableColumn id="4" xr3:uid="{00000000-0010-0000-0000-000004000000}" name="Должность" dataDxfId="393"/>
    <tableColumn id="5" xr3:uid="{00000000-0010-0000-0000-000005000000}" name="дата нач.1" dataDxfId="392"/>
    <tableColumn id="6" xr3:uid="{00000000-0010-0000-0000-000006000000}" name="кол-во_x000a_дней 1" dataDxfId="391"/>
    <tableColumn id="7" xr3:uid="{00000000-0010-0000-0000-000007000000}" name="дата нач.2" dataDxfId="390"/>
    <tableColumn id="8" xr3:uid="{00000000-0010-0000-0000-000008000000}" name="кол-во_x000a_дней 2" dataDxfId="389"/>
    <tableColumn id="9" xr3:uid="{00000000-0010-0000-0000-000009000000}" name="дата нач.3" dataDxfId="388"/>
    <tableColumn id="10" xr3:uid="{00000000-0010-0000-0000-00000A000000}" name="кол-во_x000a_дней 3" dataDxfId="387"/>
    <tableColumn id="11" xr3:uid="{00000000-0010-0000-0000-00000B000000}" name="Итого дней" dataDxfId="386">
      <calculatedColumnFormula>SUM(F8,H8,J8)</calculatedColumnFormula>
    </tableColumn>
    <tableColumn id="12" xr3:uid="{00000000-0010-0000-0000-00000C000000}" name="янв" dataDxfId="385">
      <calculatedColumnFormula>IF(SUMIF($X$6:$NX$6,MONTH(L$5),$X8:$DI8)/$NY8=0,"",SUMIF($X$6:$NX$6,MONTH(L$5),$X8:$NX8)/$NY8)</calculatedColumnFormula>
    </tableColumn>
    <tableColumn id="13" xr3:uid="{00000000-0010-0000-0000-00000D000000}" name="фев" dataDxfId="384">
      <calculatedColumnFormula>IF(SUMIF($X$6:$NX$6,MONTH(M$5),$X8:$DI8)/$NY8=0,"",SUMIF($X$6:$NX$6,MONTH(M$5),$X8:$NX8)/$NY8)</calculatedColumnFormula>
    </tableColumn>
    <tableColumn id="14" xr3:uid="{00000000-0010-0000-0000-00000E000000}" name="мар" dataDxfId="383">
      <calculatedColumnFormula>IF(SUMIF($X$6:$NX$6,MONTH(N$5),$X8:$DI8)/$NY8=0,"",SUMIF($X$6:$NX$6,MONTH(N$5),$X8:$NX8)/$NY8)</calculatedColumnFormula>
    </tableColumn>
    <tableColumn id="15" xr3:uid="{00000000-0010-0000-0000-00000F000000}" name="апр" dataDxfId="382">
      <calculatedColumnFormula>IF(SUMIF($X$6:$NX$6,MONTH(O$5),$X8:$DI8)/$NY8=0,"",SUMIF($X$6:$NX$6,MONTH(O$5),$X8:$NX8)/$NY8)</calculatedColumnFormula>
    </tableColumn>
    <tableColumn id="16" xr3:uid="{00000000-0010-0000-0000-000010000000}" name="май" dataDxfId="381">
      <calculatedColumnFormula>IF(SUMIF($X$6:$NX$6,MONTH(P$5),$X8:$DI8)/$NY8=0,"",SUMIF($X$6:$NX$6,MONTH(P$5),$X8:$NX8)/$NY8)</calculatedColumnFormula>
    </tableColumn>
    <tableColumn id="17" xr3:uid="{00000000-0010-0000-0000-000011000000}" name="июн" dataDxfId="380">
      <calculatedColumnFormula>IF(SUMIF($X$6:$NX$6,MONTH(Q$5),$X8:$DI8)/$NY8=0,"",SUMIF($X$6:$NX$6,MONTH(Q$5),$X8:$NX8)/$NY8)</calculatedColumnFormula>
    </tableColumn>
    <tableColumn id="18" xr3:uid="{00000000-0010-0000-0000-000012000000}" name="июл" dataDxfId="379">
      <calculatedColumnFormula>IF(SUMIF($X$6:$NX$6,MONTH(R$5),$X8:$DI8)/$NY8=0,"",SUMIF($X$6:$NX$6,MONTH(R$5),$X8:$NX8)/$NY8)</calculatedColumnFormula>
    </tableColumn>
    <tableColumn id="19" xr3:uid="{00000000-0010-0000-0000-000013000000}" name="авг" dataDxfId="378">
      <calculatedColumnFormula>IF(SUMIF($X$6:$NX$6,MONTH(S$5),$X8:$DI8)/$NY8=0,"",SUMIF($X$6:$NX$6,MONTH(S$5),$X8:$NX8)/$NY8)</calculatedColumnFormula>
    </tableColumn>
    <tableColumn id="20" xr3:uid="{00000000-0010-0000-0000-000014000000}" name="сен" dataDxfId="377">
      <calculatedColumnFormula>IF(SUMIF($X$6:$NX$6,MONTH(T$5),$X8:$DI8)/$NY8=0,"",SUMIF($X$6:$NX$6,MONTH(T$5),$X8:$NX8)/$NY8)</calculatedColumnFormula>
    </tableColumn>
    <tableColumn id="21" xr3:uid="{00000000-0010-0000-0000-000015000000}" name="окт" dataDxfId="376">
      <calculatedColumnFormula>IF(SUMIF($X$6:$NX$6,MONTH(U$5),$X8:$DI8)/$NY8=0,"",SUMIF($X$6:$NX$6,MONTH(U$5),$X8:$NX8)/$NY8)</calculatedColumnFormula>
    </tableColumn>
    <tableColumn id="22" xr3:uid="{00000000-0010-0000-0000-000016000000}" name="ноя" dataDxfId="375">
      <calculatedColumnFormula>IF(SUMIF($X$6:$NX$6,MONTH(V$5),$X8:$DI8)/$NY8=0,"",SUMIF($X$6:$NX$6,MONTH(V$5),$X8:$NX8)/$NY8)</calculatedColumnFormula>
    </tableColumn>
    <tableColumn id="23" xr3:uid="{00000000-0010-0000-0000-000017000000}" name="дек" dataDxfId="374">
      <calculatedColumnFormula>IF(SUMIF($X$6:$NX$6,MONTH(W$5),$X8:$DI8)/$NY8=0,"",SUMIF($X$6:$NX$6,MONTH(W$5),$X8:$NX8)/$NY8)</calculatedColumnFormula>
    </tableColumn>
    <tableColumn id="24" xr3:uid="{00000000-0010-0000-0000-000018000000}" name="01.янв" dataDxfId="373"/>
    <tableColumn id="25" xr3:uid="{00000000-0010-0000-0000-000019000000}" name="02.янв" dataDxfId="372"/>
    <tableColumn id="26" xr3:uid="{00000000-0010-0000-0000-00001A000000}" name="03.янв" dataDxfId="371"/>
    <tableColumn id="27" xr3:uid="{00000000-0010-0000-0000-00001B000000}" name="04.янв" dataDxfId="370"/>
    <tableColumn id="28" xr3:uid="{00000000-0010-0000-0000-00001C000000}" name="05.янв" dataDxfId="369"/>
    <tableColumn id="29" xr3:uid="{00000000-0010-0000-0000-00001D000000}" name="06.янв" dataDxfId="368"/>
    <tableColumn id="30" xr3:uid="{00000000-0010-0000-0000-00001E000000}" name="07.янв" dataDxfId="367"/>
    <tableColumn id="31" xr3:uid="{00000000-0010-0000-0000-00001F000000}" name="08.янв" dataDxfId="366"/>
    <tableColumn id="32" xr3:uid="{00000000-0010-0000-0000-000020000000}" name="09.янв" dataDxfId="365"/>
    <tableColumn id="33" xr3:uid="{00000000-0010-0000-0000-000021000000}" name="10.янв" dataDxfId="364"/>
    <tableColumn id="34" xr3:uid="{00000000-0010-0000-0000-000022000000}" name="11.янв" dataDxfId="363"/>
    <tableColumn id="35" xr3:uid="{00000000-0010-0000-0000-000023000000}" name="12.янв" dataDxfId="362"/>
    <tableColumn id="36" xr3:uid="{00000000-0010-0000-0000-000024000000}" name="13.янв" dataDxfId="361"/>
    <tableColumn id="37" xr3:uid="{00000000-0010-0000-0000-000025000000}" name="14.янв" dataDxfId="360"/>
    <tableColumn id="38" xr3:uid="{00000000-0010-0000-0000-000026000000}" name="15.янв" dataDxfId="359"/>
    <tableColumn id="39" xr3:uid="{00000000-0010-0000-0000-000027000000}" name="16.янв" dataDxfId="358"/>
    <tableColumn id="40" xr3:uid="{00000000-0010-0000-0000-000028000000}" name="17.янв" dataDxfId="357"/>
    <tableColumn id="41" xr3:uid="{00000000-0010-0000-0000-000029000000}" name="18.янв" dataDxfId="356"/>
    <tableColumn id="42" xr3:uid="{00000000-0010-0000-0000-00002A000000}" name="19.янв" dataDxfId="355"/>
    <tableColumn id="43" xr3:uid="{00000000-0010-0000-0000-00002B000000}" name="20.янв" dataDxfId="354"/>
    <tableColumn id="44" xr3:uid="{00000000-0010-0000-0000-00002C000000}" name="21.янв" dataDxfId="353"/>
    <tableColumn id="45" xr3:uid="{00000000-0010-0000-0000-00002D000000}" name="22.янв" dataDxfId="352"/>
    <tableColumn id="46" xr3:uid="{00000000-0010-0000-0000-00002E000000}" name="23.янв" dataDxfId="351"/>
    <tableColumn id="47" xr3:uid="{00000000-0010-0000-0000-00002F000000}" name="24.янв" dataDxfId="350"/>
    <tableColumn id="48" xr3:uid="{00000000-0010-0000-0000-000030000000}" name="25.янв" dataDxfId="349"/>
    <tableColumn id="49" xr3:uid="{00000000-0010-0000-0000-000031000000}" name="26.янв" dataDxfId="348"/>
    <tableColumn id="50" xr3:uid="{00000000-0010-0000-0000-000032000000}" name="27.янв" dataDxfId="347"/>
    <tableColumn id="51" xr3:uid="{00000000-0010-0000-0000-000033000000}" name="28.янв" dataDxfId="346"/>
    <tableColumn id="52" xr3:uid="{00000000-0010-0000-0000-000034000000}" name="29.янв" dataDxfId="345"/>
    <tableColumn id="53" xr3:uid="{00000000-0010-0000-0000-000035000000}" name="30.янв" dataDxfId="344"/>
    <tableColumn id="54" xr3:uid="{00000000-0010-0000-0000-000036000000}" name="31.янв" dataDxfId="343"/>
    <tableColumn id="55" xr3:uid="{00000000-0010-0000-0000-000037000000}" name="01.фев" dataDxfId="342"/>
    <tableColumn id="56" xr3:uid="{00000000-0010-0000-0000-000038000000}" name="02.фев" dataDxfId="341"/>
    <tableColumn id="57" xr3:uid="{00000000-0010-0000-0000-000039000000}" name="03.фев" dataDxfId="340"/>
    <tableColumn id="58" xr3:uid="{00000000-0010-0000-0000-00003A000000}" name="04.фев" dataDxfId="339"/>
    <tableColumn id="59" xr3:uid="{00000000-0010-0000-0000-00003B000000}" name="05.фев" dataDxfId="338"/>
    <tableColumn id="60" xr3:uid="{00000000-0010-0000-0000-00003C000000}" name="06.фев" dataDxfId="337"/>
    <tableColumn id="61" xr3:uid="{00000000-0010-0000-0000-00003D000000}" name="07.фев" dataDxfId="336"/>
    <tableColumn id="62" xr3:uid="{00000000-0010-0000-0000-00003E000000}" name="08.фев" dataDxfId="335"/>
    <tableColumn id="63" xr3:uid="{00000000-0010-0000-0000-00003F000000}" name="09.фев" dataDxfId="334"/>
    <tableColumn id="64" xr3:uid="{00000000-0010-0000-0000-000040000000}" name="10.фев" dataDxfId="333"/>
    <tableColumn id="65" xr3:uid="{00000000-0010-0000-0000-000041000000}" name="11.фев" dataDxfId="332"/>
    <tableColumn id="66" xr3:uid="{00000000-0010-0000-0000-000042000000}" name="12.фев" dataDxfId="331"/>
    <tableColumn id="67" xr3:uid="{00000000-0010-0000-0000-000043000000}" name="13.фев" dataDxfId="330"/>
    <tableColumn id="68" xr3:uid="{00000000-0010-0000-0000-000044000000}" name="14.фев" dataDxfId="329"/>
    <tableColumn id="69" xr3:uid="{00000000-0010-0000-0000-000045000000}" name="15.фев" dataDxfId="328"/>
    <tableColumn id="70" xr3:uid="{00000000-0010-0000-0000-000046000000}" name="16.фев" dataDxfId="327"/>
    <tableColumn id="71" xr3:uid="{00000000-0010-0000-0000-000047000000}" name="17.фев" dataDxfId="326"/>
    <tableColumn id="72" xr3:uid="{00000000-0010-0000-0000-000048000000}" name="18.фев" dataDxfId="325"/>
    <tableColumn id="73" xr3:uid="{00000000-0010-0000-0000-000049000000}" name="19.фев" dataDxfId="324"/>
    <tableColumn id="74" xr3:uid="{00000000-0010-0000-0000-00004A000000}" name="20.фев" dataDxfId="323"/>
    <tableColumn id="75" xr3:uid="{00000000-0010-0000-0000-00004B000000}" name="21.фев" dataDxfId="322"/>
    <tableColumn id="76" xr3:uid="{00000000-0010-0000-0000-00004C000000}" name="22.фев" dataDxfId="321"/>
    <tableColumn id="77" xr3:uid="{00000000-0010-0000-0000-00004D000000}" name="23.фев" dataDxfId="320"/>
    <tableColumn id="78" xr3:uid="{00000000-0010-0000-0000-00004E000000}" name="24.фев" dataDxfId="319"/>
    <tableColumn id="79" xr3:uid="{00000000-0010-0000-0000-00004F000000}" name="25.фев" dataDxfId="318"/>
    <tableColumn id="80" xr3:uid="{00000000-0010-0000-0000-000050000000}" name="26.фев" dataDxfId="317"/>
    <tableColumn id="81" xr3:uid="{00000000-0010-0000-0000-000051000000}" name="27.фев" dataDxfId="316"/>
    <tableColumn id="82" xr3:uid="{00000000-0010-0000-0000-000052000000}" name="28.фев" dataDxfId="315"/>
    <tableColumn id="83" xr3:uid="{00000000-0010-0000-0000-000053000000}" name="01.мар" dataDxfId="314"/>
    <tableColumn id="84" xr3:uid="{00000000-0010-0000-0000-000054000000}" name="02.мар" dataDxfId="313"/>
    <tableColumn id="85" xr3:uid="{00000000-0010-0000-0000-000055000000}" name="03.мар" dataDxfId="312"/>
    <tableColumn id="86" xr3:uid="{00000000-0010-0000-0000-000056000000}" name="04.мар" dataDxfId="311"/>
    <tableColumn id="87" xr3:uid="{00000000-0010-0000-0000-000057000000}" name="05.мар" dataDxfId="310"/>
    <tableColumn id="88" xr3:uid="{00000000-0010-0000-0000-000058000000}" name="06.мар" dataDxfId="309"/>
    <tableColumn id="89" xr3:uid="{00000000-0010-0000-0000-000059000000}" name="07.мар" dataDxfId="308"/>
    <tableColumn id="90" xr3:uid="{00000000-0010-0000-0000-00005A000000}" name="08.мар" dataDxfId="307"/>
    <tableColumn id="91" xr3:uid="{00000000-0010-0000-0000-00005B000000}" name="09.мар" dataDxfId="306"/>
    <tableColumn id="92" xr3:uid="{00000000-0010-0000-0000-00005C000000}" name="10.мар" dataDxfId="305"/>
    <tableColumn id="93" xr3:uid="{00000000-0010-0000-0000-00005D000000}" name="11.мар" dataDxfId="304"/>
    <tableColumn id="94" xr3:uid="{00000000-0010-0000-0000-00005E000000}" name="12.мар" dataDxfId="303"/>
    <tableColumn id="95" xr3:uid="{00000000-0010-0000-0000-00005F000000}" name="13.мар" dataDxfId="302"/>
    <tableColumn id="96" xr3:uid="{00000000-0010-0000-0000-000060000000}" name="14.мар" dataDxfId="301"/>
    <tableColumn id="97" xr3:uid="{00000000-0010-0000-0000-000061000000}" name="15.мар" dataDxfId="300"/>
    <tableColumn id="98" xr3:uid="{00000000-0010-0000-0000-000062000000}" name="16.мар" dataDxfId="299"/>
    <tableColumn id="99" xr3:uid="{00000000-0010-0000-0000-000063000000}" name="17.мар" dataDxfId="298"/>
    <tableColumn id="100" xr3:uid="{00000000-0010-0000-0000-000064000000}" name="18.мар" dataDxfId="297"/>
    <tableColumn id="101" xr3:uid="{00000000-0010-0000-0000-000065000000}" name="19.мар" dataDxfId="296"/>
    <tableColumn id="102" xr3:uid="{00000000-0010-0000-0000-000066000000}" name="20.мар" dataDxfId="295"/>
    <tableColumn id="103" xr3:uid="{00000000-0010-0000-0000-000067000000}" name="21.мар" dataDxfId="294"/>
    <tableColumn id="104" xr3:uid="{00000000-0010-0000-0000-000068000000}" name="22.мар" dataDxfId="293"/>
    <tableColumn id="105" xr3:uid="{00000000-0010-0000-0000-000069000000}" name="23.мар" dataDxfId="292"/>
    <tableColumn id="106" xr3:uid="{00000000-0010-0000-0000-00006A000000}" name="24.мар" dataDxfId="291"/>
    <tableColumn id="107" xr3:uid="{00000000-0010-0000-0000-00006B000000}" name="25.мар" dataDxfId="290"/>
    <tableColumn id="108" xr3:uid="{00000000-0010-0000-0000-00006C000000}" name="26.мар" dataDxfId="289"/>
    <tableColumn id="109" xr3:uid="{00000000-0010-0000-0000-00006D000000}" name="27.мар" dataDxfId="288"/>
    <tableColumn id="110" xr3:uid="{00000000-0010-0000-0000-00006E000000}" name="28.мар" dataDxfId="287"/>
    <tableColumn id="111" xr3:uid="{00000000-0010-0000-0000-00006F000000}" name="29.мар" dataDxfId="286"/>
    <tableColumn id="112" xr3:uid="{00000000-0010-0000-0000-000070000000}" name="30.мар" dataDxfId="285"/>
    <tableColumn id="113" xr3:uid="{00000000-0010-0000-0000-000071000000}" name="31.мар" dataDxfId="284"/>
    <tableColumn id="114" xr3:uid="{00000000-0010-0000-0000-000072000000}" name="01.апр" dataDxfId="283"/>
    <tableColumn id="115" xr3:uid="{00000000-0010-0000-0000-000073000000}" name="02.апр" dataDxfId="282"/>
    <tableColumn id="116" xr3:uid="{00000000-0010-0000-0000-000074000000}" name="03.апр" dataDxfId="281"/>
    <tableColumn id="117" xr3:uid="{00000000-0010-0000-0000-000075000000}" name="04.апр" dataDxfId="280"/>
    <tableColumn id="118" xr3:uid="{00000000-0010-0000-0000-000076000000}" name="05.апр" dataDxfId="279"/>
    <tableColumn id="119" xr3:uid="{00000000-0010-0000-0000-000077000000}" name="06.апр" dataDxfId="278"/>
    <tableColumn id="120" xr3:uid="{00000000-0010-0000-0000-000078000000}" name="07.апр" dataDxfId="277"/>
    <tableColumn id="121" xr3:uid="{00000000-0010-0000-0000-000079000000}" name="08.апр" dataDxfId="276"/>
    <tableColumn id="122" xr3:uid="{00000000-0010-0000-0000-00007A000000}" name="09.апр" dataDxfId="275"/>
    <tableColumn id="123" xr3:uid="{00000000-0010-0000-0000-00007B000000}" name="10.апр" dataDxfId="274"/>
    <tableColumn id="124" xr3:uid="{00000000-0010-0000-0000-00007C000000}" name="11.апр" dataDxfId="273"/>
    <tableColumn id="125" xr3:uid="{00000000-0010-0000-0000-00007D000000}" name="12.апр" dataDxfId="272"/>
    <tableColumn id="126" xr3:uid="{00000000-0010-0000-0000-00007E000000}" name="13.апр" dataDxfId="271"/>
    <tableColumn id="127" xr3:uid="{00000000-0010-0000-0000-00007F000000}" name="14.апр" dataDxfId="270"/>
    <tableColumn id="128" xr3:uid="{00000000-0010-0000-0000-000080000000}" name="15.апр" dataDxfId="269"/>
    <tableColumn id="129" xr3:uid="{00000000-0010-0000-0000-000081000000}" name="16.апр" dataDxfId="268"/>
    <tableColumn id="130" xr3:uid="{00000000-0010-0000-0000-000082000000}" name="17.апр" dataDxfId="267"/>
    <tableColumn id="131" xr3:uid="{00000000-0010-0000-0000-000083000000}" name="18.апр" dataDxfId="266"/>
    <tableColumn id="132" xr3:uid="{00000000-0010-0000-0000-000084000000}" name="19.апр" dataDxfId="265"/>
    <tableColumn id="133" xr3:uid="{00000000-0010-0000-0000-000085000000}" name="20.апр" dataDxfId="264"/>
    <tableColumn id="134" xr3:uid="{00000000-0010-0000-0000-000086000000}" name="21.апр" dataDxfId="263"/>
    <tableColumn id="135" xr3:uid="{00000000-0010-0000-0000-000087000000}" name="22.апр" dataDxfId="262"/>
    <tableColumn id="136" xr3:uid="{00000000-0010-0000-0000-000088000000}" name="23.апр" dataDxfId="261"/>
    <tableColumn id="137" xr3:uid="{00000000-0010-0000-0000-000089000000}" name="24.апр" dataDxfId="260"/>
    <tableColumn id="138" xr3:uid="{00000000-0010-0000-0000-00008A000000}" name="25.апр" dataDxfId="259"/>
    <tableColumn id="139" xr3:uid="{00000000-0010-0000-0000-00008B000000}" name="26.апр" dataDxfId="258"/>
    <tableColumn id="140" xr3:uid="{00000000-0010-0000-0000-00008C000000}" name="27.апр" dataDxfId="257"/>
    <tableColumn id="141" xr3:uid="{00000000-0010-0000-0000-00008D000000}" name="28.апр" dataDxfId="256"/>
    <tableColumn id="142" xr3:uid="{00000000-0010-0000-0000-00008E000000}" name="29.апр" dataDxfId="255"/>
    <tableColumn id="143" xr3:uid="{00000000-0010-0000-0000-00008F000000}" name="30.апр" dataDxfId="254"/>
    <tableColumn id="144" xr3:uid="{00000000-0010-0000-0000-000090000000}" name="01.май" dataDxfId="253"/>
    <tableColumn id="145" xr3:uid="{00000000-0010-0000-0000-000091000000}" name="02.май" dataDxfId="252"/>
    <tableColumn id="146" xr3:uid="{00000000-0010-0000-0000-000092000000}" name="03.май" dataDxfId="251"/>
    <tableColumn id="147" xr3:uid="{00000000-0010-0000-0000-000093000000}" name="04.май" dataDxfId="250"/>
    <tableColumn id="148" xr3:uid="{00000000-0010-0000-0000-000094000000}" name="05.май" dataDxfId="249"/>
    <tableColumn id="149" xr3:uid="{00000000-0010-0000-0000-000095000000}" name="06.май" dataDxfId="248"/>
    <tableColumn id="150" xr3:uid="{00000000-0010-0000-0000-000096000000}" name="07.май" dataDxfId="247"/>
    <tableColumn id="151" xr3:uid="{00000000-0010-0000-0000-000097000000}" name="08.май" dataDxfId="246"/>
    <tableColumn id="152" xr3:uid="{00000000-0010-0000-0000-000098000000}" name="09.май" dataDxfId="245"/>
    <tableColumn id="153" xr3:uid="{00000000-0010-0000-0000-000099000000}" name="10.май" dataDxfId="244"/>
    <tableColumn id="154" xr3:uid="{00000000-0010-0000-0000-00009A000000}" name="11.май" dataDxfId="243"/>
    <tableColumn id="155" xr3:uid="{00000000-0010-0000-0000-00009B000000}" name="12.май" dataDxfId="242"/>
    <tableColumn id="156" xr3:uid="{00000000-0010-0000-0000-00009C000000}" name="13.май" dataDxfId="241"/>
    <tableColumn id="157" xr3:uid="{00000000-0010-0000-0000-00009D000000}" name="14.май" dataDxfId="240"/>
    <tableColumn id="158" xr3:uid="{00000000-0010-0000-0000-00009E000000}" name="15.май" dataDxfId="239"/>
    <tableColumn id="159" xr3:uid="{00000000-0010-0000-0000-00009F000000}" name="16.май" dataDxfId="238"/>
    <tableColumn id="160" xr3:uid="{00000000-0010-0000-0000-0000A0000000}" name="17.май" dataDxfId="237"/>
    <tableColumn id="161" xr3:uid="{00000000-0010-0000-0000-0000A1000000}" name="18.май" dataDxfId="236"/>
    <tableColumn id="162" xr3:uid="{00000000-0010-0000-0000-0000A2000000}" name="19.май" dataDxfId="235"/>
    <tableColumn id="163" xr3:uid="{00000000-0010-0000-0000-0000A3000000}" name="20.май" dataDxfId="234"/>
    <tableColumn id="164" xr3:uid="{00000000-0010-0000-0000-0000A4000000}" name="21.май" dataDxfId="233"/>
    <tableColumn id="165" xr3:uid="{00000000-0010-0000-0000-0000A5000000}" name="22.май" dataDxfId="232"/>
    <tableColumn id="166" xr3:uid="{00000000-0010-0000-0000-0000A6000000}" name="23.май" dataDxfId="231"/>
    <tableColumn id="167" xr3:uid="{00000000-0010-0000-0000-0000A7000000}" name="24.май" dataDxfId="230"/>
    <tableColumn id="168" xr3:uid="{00000000-0010-0000-0000-0000A8000000}" name="25.май" dataDxfId="229"/>
    <tableColumn id="169" xr3:uid="{00000000-0010-0000-0000-0000A9000000}" name="26.май" dataDxfId="228"/>
    <tableColumn id="170" xr3:uid="{00000000-0010-0000-0000-0000AA000000}" name="27.май" dataDxfId="227"/>
    <tableColumn id="171" xr3:uid="{00000000-0010-0000-0000-0000AB000000}" name="28.май" dataDxfId="226"/>
    <tableColumn id="172" xr3:uid="{00000000-0010-0000-0000-0000AC000000}" name="29.май" dataDxfId="225"/>
    <tableColumn id="173" xr3:uid="{00000000-0010-0000-0000-0000AD000000}" name="30.май" dataDxfId="224"/>
    <tableColumn id="174" xr3:uid="{00000000-0010-0000-0000-0000AE000000}" name="31.май" dataDxfId="223"/>
    <tableColumn id="175" xr3:uid="{00000000-0010-0000-0000-0000AF000000}" name="01.июн" dataDxfId="222"/>
    <tableColumn id="176" xr3:uid="{00000000-0010-0000-0000-0000B0000000}" name="02.июн" dataDxfId="221"/>
    <tableColumn id="177" xr3:uid="{00000000-0010-0000-0000-0000B1000000}" name="03.июн" dataDxfId="220"/>
    <tableColumn id="178" xr3:uid="{00000000-0010-0000-0000-0000B2000000}" name="04.июн" dataDxfId="219"/>
    <tableColumn id="179" xr3:uid="{00000000-0010-0000-0000-0000B3000000}" name="05.июн" dataDxfId="218"/>
    <tableColumn id="180" xr3:uid="{00000000-0010-0000-0000-0000B4000000}" name="06.июн" dataDxfId="217"/>
    <tableColumn id="181" xr3:uid="{00000000-0010-0000-0000-0000B5000000}" name="07.июн" dataDxfId="216"/>
    <tableColumn id="182" xr3:uid="{00000000-0010-0000-0000-0000B6000000}" name="08.июн" dataDxfId="215"/>
    <tableColumn id="183" xr3:uid="{00000000-0010-0000-0000-0000B7000000}" name="09.июн" dataDxfId="214"/>
    <tableColumn id="184" xr3:uid="{00000000-0010-0000-0000-0000B8000000}" name="10.июн" dataDxfId="213"/>
    <tableColumn id="185" xr3:uid="{00000000-0010-0000-0000-0000B9000000}" name="11.июн" dataDxfId="212"/>
    <tableColumn id="186" xr3:uid="{00000000-0010-0000-0000-0000BA000000}" name="12.июн" dataDxfId="211"/>
    <tableColumn id="187" xr3:uid="{00000000-0010-0000-0000-0000BB000000}" name="13.июн" dataDxfId="210"/>
    <tableColumn id="188" xr3:uid="{00000000-0010-0000-0000-0000BC000000}" name="14.июн" dataDxfId="209"/>
    <tableColumn id="189" xr3:uid="{00000000-0010-0000-0000-0000BD000000}" name="15.июн" dataDxfId="208"/>
    <tableColumn id="190" xr3:uid="{00000000-0010-0000-0000-0000BE000000}" name="16.июн" dataDxfId="207"/>
    <tableColumn id="191" xr3:uid="{00000000-0010-0000-0000-0000BF000000}" name="17.июн" dataDxfId="206"/>
    <tableColumn id="192" xr3:uid="{00000000-0010-0000-0000-0000C0000000}" name="18.июн" dataDxfId="205"/>
    <tableColumn id="193" xr3:uid="{00000000-0010-0000-0000-0000C1000000}" name="19.июн" dataDxfId="204"/>
    <tableColumn id="194" xr3:uid="{00000000-0010-0000-0000-0000C2000000}" name="20.июн" dataDxfId="203"/>
    <tableColumn id="195" xr3:uid="{00000000-0010-0000-0000-0000C3000000}" name="21.июн" dataDxfId="202"/>
    <tableColumn id="196" xr3:uid="{00000000-0010-0000-0000-0000C4000000}" name="22.июн" dataDxfId="201"/>
    <tableColumn id="197" xr3:uid="{00000000-0010-0000-0000-0000C5000000}" name="23.июн" dataDxfId="200"/>
    <tableColumn id="198" xr3:uid="{00000000-0010-0000-0000-0000C6000000}" name="24.июн" dataDxfId="199"/>
    <tableColumn id="199" xr3:uid="{00000000-0010-0000-0000-0000C7000000}" name="25.июн" dataDxfId="198"/>
    <tableColumn id="200" xr3:uid="{00000000-0010-0000-0000-0000C8000000}" name="26.июн" dataDxfId="197"/>
    <tableColumn id="201" xr3:uid="{00000000-0010-0000-0000-0000C9000000}" name="27.июн" dataDxfId="196"/>
    <tableColumn id="202" xr3:uid="{00000000-0010-0000-0000-0000CA000000}" name="28.июн" dataDxfId="195"/>
    <tableColumn id="203" xr3:uid="{00000000-0010-0000-0000-0000CB000000}" name="29.июн" dataDxfId="194"/>
    <tableColumn id="204" xr3:uid="{00000000-0010-0000-0000-0000CC000000}" name="30.июн" dataDxfId="193"/>
    <tableColumn id="205" xr3:uid="{00000000-0010-0000-0000-0000CD000000}" name="01.июл" dataDxfId="192"/>
    <tableColumn id="206" xr3:uid="{00000000-0010-0000-0000-0000CE000000}" name="02.июл" dataDxfId="191"/>
    <tableColumn id="207" xr3:uid="{00000000-0010-0000-0000-0000CF000000}" name="03.июл" dataDxfId="190"/>
    <tableColumn id="208" xr3:uid="{00000000-0010-0000-0000-0000D0000000}" name="04.июл" dataDxfId="189"/>
    <tableColumn id="209" xr3:uid="{00000000-0010-0000-0000-0000D1000000}" name="05.июл" dataDxfId="188"/>
    <tableColumn id="210" xr3:uid="{00000000-0010-0000-0000-0000D2000000}" name="06.июл" dataDxfId="187"/>
    <tableColumn id="211" xr3:uid="{00000000-0010-0000-0000-0000D3000000}" name="07.июл" dataDxfId="186"/>
    <tableColumn id="212" xr3:uid="{00000000-0010-0000-0000-0000D4000000}" name="08.июл" dataDxfId="185"/>
    <tableColumn id="213" xr3:uid="{00000000-0010-0000-0000-0000D5000000}" name="09.июл" dataDxfId="184"/>
    <tableColumn id="214" xr3:uid="{00000000-0010-0000-0000-0000D6000000}" name="10.июл" dataDxfId="183"/>
    <tableColumn id="215" xr3:uid="{00000000-0010-0000-0000-0000D7000000}" name="11.июл" dataDxfId="182"/>
    <tableColumn id="216" xr3:uid="{00000000-0010-0000-0000-0000D8000000}" name="12.июл" dataDxfId="181"/>
    <tableColumn id="217" xr3:uid="{00000000-0010-0000-0000-0000D9000000}" name="13.июл" dataDxfId="180"/>
    <tableColumn id="218" xr3:uid="{00000000-0010-0000-0000-0000DA000000}" name="14.июл" dataDxfId="179"/>
    <tableColumn id="219" xr3:uid="{00000000-0010-0000-0000-0000DB000000}" name="15.июл" dataDxfId="178"/>
    <tableColumn id="220" xr3:uid="{00000000-0010-0000-0000-0000DC000000}" name="16.июл" dataDxfId="177"/>
    <tableColumn id="221" xr3:uid="{00000000-0010-0000-0000-0000DD000000}" name="17.июл" dataDxfId="176"/>
    <tableColumn id="222" xr3:uid="{00000000-0010-0000-0000-0000DE000000}" name="18.июл" dataDxfId="175"/>
    <tableColumn id="223" xr3:uid="{00000000-0010-0000-0000-0000DF000000}" name="19.июл" dataDxfId="174"/>
    <tableColumn id="224" xr3:uid="{00000000-0010-0000-0000-0000E0000000}" name="20.июл" dataDxfId="173"/>
    <tableColumn id="225" xr3:uid="{00000000-0010-0000-0000-0000E1000000}" name="21.июл" dataDxfId="172"/>
    <tableColumn id="226" xr3:uid="{00000000-0010-0000-0000-0000E2000000}" name="22.июл" dataDxfId="171"/>
    <tableColumn id="227" xr3:uid="{00000000-0010-0000-0000-0000E3000000}" name="23.июл" dataDxfId="170"/>
    <tableColumn id="228" xr3:uid="{00000000-0010-0000-0000-0000E4000000}" name="24.июл" dataDxfId="169"/>
    <tableColumn id="229" xr3:uid="{00000000-0010-0000-0000-0000E5000000}" name="25.июл" dataDxfId="168"/>
    <tableColumn id="230" xr3:uid="{00000000-0010-0000-0000-0000E6000000}" name="26.июл" dataDxfId="167"/>
    <tableColumn id="231" xr3:uid="{00000000-0010-0000-0000-0000E7000000}" name="27.июл" dataDxfId="166"/>
    <tableColumn id="232" xr3:uid="{00000000-0010-0000-0000-0000E8000000}" name="28.июл" dataDxfId="165"/>
    <tableColumn id="233" xr3:uid="{00000000-0010-0000-0000-0000E9000000}" name="29.июл" dataDxfId="164"/>
    <tableColumn id="234" xr3:uid="{00000000-0010-0000-0000-0000EA000000}" name="30.июл" dataDxfId="163"/>
    <tableColumn id="235" xr3:uid="{00000000-0010-0000-0000-0000EB000000}" name="31.июл" dataDxfId="162"/>
    <tableColumn id="236" xr3:uid="{00000000-0010-0000-0000-0000EC000000}" name="01.авг" dataDxfId="161"/>
    <tableColumn id="237" xr3:uid="{00000000-0010-0000-0000-0000ED000000}" name="02.авг" dataDxfId="160"/>
    <tableColumn id="238" xr3:uid="{00000000-0010-0000-0000-0000EE000000}" name="03.авг" dataDxfId="159"/>
    <tableColumn id="239" xr3:uid="{00000000-0010-0000-0000-0000EF000000}" name="04.авг" dataDxfId="158"/>
    <tableColumn id="240" xr3:uid="{00000000-0010-0000-0000-0000F0000000}" name="05.авг" dataDxfId="157"/>
    <tableColumn id="241" xr3:uid="{00000000-0010-0000-0000-0000F1000000}" name="06.авг" dataDxfId="156"/>
    <tableColumn id="242" xr3:uid="{00000000-0010-0000-0000-0000F2000000}" name="07.авг" dataDxfId="155"/>
    <tableColumn id="243" xr3:uid="{00000000-0010-0000-0000-0000F3000000}" name="08.авг" dataDxfId="154"/>
    <tableColumn id="244" xr3:uid="{00000000-0010-0000-0000-0000F4000000}" name="09.авг" dataDxfId="153"/>
    <tableColumn id="245" xr3:uid="{00000000-0010-0000-0000-0000F5000000}" name="10.авг" dataDxfId="152"/>
    <tableColumn id="246" xr3:uid="{00000000-0010-0000-0000-0000F6000000}" name="11.авг" dataDxfId="151"/>
    <tableColumn id="247" xr3:uid="{00000000-0010-0000-0000-0000F7000000}" name="12.авг" dataDxfId="150"/>
    <tableColumn id="248" xr3:uid="{00000000-0010-0000-0000-0000F8000000}" name="13.авг" dataDxfId="149"/>
    <tableColumn id="249" xr3:uid="{00000000-0010-0000-0000-0000F9000000}" name="14.авг" dataDxfId="148"/>
    <tableColumn id="250" xr3:uid="{00000000-0010-0000-0000-0000FA000000}" name="15.авг" dataDxfId="147"/>
    <tableColumn id="251" xr3:uid="{00000000-0010-0000-0000-0000FB000000}" name="16.авг" dataDxfId="146"/>
    <tableColumn id="252" xr3:uid="{00000000-0010-0000-0000-0000FC000000}" name="17.авг" dataDxfId="145"/>
    <tableColumn id="253" xr3:uid="{00000000-0010-0000-0000-0000FD000000}" name="18.авг" dataDxfId="144"/>
    <tableColumn id="254" xr3:uid="{00000000-0010-0000-0000-0000FE000000}" name="19.авг" dataDxfId="143"/>
    <tableColumn id="255" xr3:uid="{00000000-0010-0000-0000-0000FF000000}" name="20.авг" dataDxfId="142"/>
    <tableColumn id="256" xr3:uid="{00000000-0010-0000-0000-000000010000}" name="21.авг" dataDxfId="141"/>
    <tableColumn id="257" xr3:uid="{00000000-0010-0000-0000-000001010000}" name="22.авг" dataDxfId="140"/>
    <tableColumn id="258" xr3:uid="{00000000-0010-0000-0000-000002010000}" name="23.авг" dataDxfId="139"/>
    <tableColumn id="259" xr3:uid="{00000000-0010-0000-0000-000003010000}" name="24.авг" dataDxfId="138"/>
    <tableColumn id="260" xr3:uid="{00000000-0010-0000-0000-000004010000}" name="25.авг" dataDxfId="137"/>
    <tableColumn id="261" xr3:uid="{00000000-0010-0000-0000-000005010000}" name="26.авг" dataDxfId="136"/>
    <tableColumn id="262" xr3:uid="{00000000-0010-0000-0000-000006010000}" name="27.авг" dataDxfId="135"/>
    <tableColumn id="263" xr3:uid="{00000000-0010-0000-0000-000007010000}" name="28.авг" dataDxfId="134"/>
    <tableColumn id="264" xr3:uid="{00000000-0010-0000-0000-000008010000}" name="29.авг" dataDxfId="133"/>
    <tableColumn id="265" xr3:uid="{00000000-0010-0000-0000-000009010000}" name="30.авг" dataDxfId="132"/>
    <tableColumn id="266" xr3:uid="{00000000-0010-0000-0000-00000A010000}" name="31.авг" dataDxfId="131"/>
    <tableColumn id="267" xr3:uid="{00000000-0010-0000-0000-00000B010000}" name="01.сен" dataDxfId="130"/>
    <tableColumn id="268" xr3:uid="{00000000-0010-0000-0000-00000C010000}" name="02.сен" dataDxfId="129"/>
    <tableColumn id="269" xr3:uid="{00000000-0010-0000-0000-00000D010000}" name="03.сен" dataDxfId="128"/>
    <tableColumn id="270" xr3:uid="{00000000-0010-0000-0000-00000E010000}" name="04.сен" dataDxfId="127"/>
    <tableColumn id="271" xr3:uid="{00000000-0010-0000-0000-00000F010000}" name="05.сен" dataDxfId="126"/>
    <tableColumn id="272" xr3:uid="{00000000-0010-0000-0000-000010010000}" name="06.сен" dataDxfId="125"/>
    <tableColumn id="273" xr3:uid="{00000000-0010-0000-0000-000011010000}" name="07.сен" dataDxfId="124"/>
    <tableColumn id="274" xr3:uid="{00000000-0010-0000-0000-000012010000}" name="08.сен" dataDxfId="123"/>
    <tableColumn id="275" xr3:uid="{00000000-0010-0000-0000-000013010000}" name="09.сен" dataDxfId="122"/>
    <tableColumn id="276" xr3:uid="{00000000-0010-0000-0000-000014010000}" name="10.сен" dataDxfId="121"/>
    <tableColumn id="277" xr3:uid="{00000000-0010-0000-0000-000015010000}" name="11.сен" dataDxfId="120"/>
    <tableColumn id="278" xr3:uid="{00000000-0010-0000-0000-000016010000}" name="12.сен" dataDxfId="119"/>
    <tableColumn id="279" xr3:uid="{00000000-0010-0000-0000-000017010000}" name="13.сен" dataDxfId="118"/>
    <tableColumn id="280" xr3:uid="{00000000-0010-0000-0000-000018010000}" name="14.сен" dataDxfId="117"/>
    <tableColumn id="281" xr3:uid="{00000000-0010-0000-0000-000019010000}" name="15.сен" dataDxfId="116"/>
    <tableColumn id="282" xr3:uid="{00000000-0010-0000-0000-00001A010000}" name="16.сен" dataDxfId="115"/>
    <tableColumn id="283" xr3:uid="{00000000-0010-0000-0000-00001B010000}" name="17.сен" dataDxfId="114"/>
    <tableColumn id="284" xr3:uid="{00000000-0010-0000-0000-00001C010000}" name="18.сен" dataDxfId="113"/>
    <tableColumn id="285" xr3:uid="{00000000-0010-0000-0000-00001D010000}" name="19.сен" dataDxfId="112"/>
    <tableColumn id="286" xr3:uid="{00000000-0010-0000-0000-00001E010000}" name="20.сен" dataDxfId="111"/>
    <tableColumn id="287" xr3:uid="{00000000-0010-0000-0000-00001F010000}" name="21.сен" dataDxfId="110"/>
    <tableColumn id="288" xr3:uid="{00000000-0010-0000-0000-000020010000}" name="22.сен" dataDxfId="109"/>
    <tableColumn id="289" xr3:uid="{00000000-0010-0000-0000-000021010000}" name="23.сен" dataDxfId="108"/>
    <tableColumn id="290" xr3:uid="{00000000-0010-0000-0000-000022010000}" name="24.сен" dataDxfId="107"/>
    <tableColumn id="291" xr3:uid="{00000000-0010-0000-0000-000023010000}" name="25.сен" dataDxfId="106"/>
    <tableColumn id="292" xr3:uid="{00000000-0010-0000-0000-000024010000}" name="26.сен" dataDxfId="105"/>
    <tableColumn id="293" xr3:uid="{00000000-0010-0000-0000-000025010000}" name="27.сен" dataDxfId="104"/>
    <tableColumn id="294" xr3:uid="{00000000-0010-0000-0000-000026010000}" name="28.сен" dataDxfId="103"/>
    <tableColumn id="295" xr3:uid="{00000000-0010-0000-0000-000027010000}" name="29.сен" dataDxfId="102"/>
    <tableColumn id="296" xr3:uid="{00000000-0010-0000-0000-000028010000}" name="30.сен" dataDxfId="101"/>
    <tableColumn id="297" xr3:uid="{00000000-0010-0000-0000-000029010000}" name="01.окт" dataDxfId="100"/>
    <tableColumn id="298" xr3:uid="{00000000-0010-0000-0000-00002A010000}" name="02.окт" dataDxfId="99"/>
    <tableColumn id="299" xr3:uid="{00000000-0010-0000-0000-00002B010000}" name="03.окт" dataDxfId="98"/>
    <tableColumn id="300" xr3:uid="{00000000-0010-0000-0000-00002C010000}" name="04.окт" dataDxfId="97"/>
    <tableColumn id="301" xr3:uid="{00000000-0010-0000-0000-00002D010000}" name="05.окт" dataDxfId="96"/>
    <tableColumn id="302" xr3:uid="{00000000-0010-0000-0000-00002E010000}" name="06.окт" dataDxfId="95"/>
    <tableColumn id="303" xr3:uid="{00000000-0010-0000-0000-00002F010000}" name="07.окт" dataDxfId="94"/>
    <tableColumn id="304" xr3:uid="{00000000-0010-0000-0000-000030010000}" name="08.окт" dataDxfId="93"/>
    <tableColumn id="305" xr3:uid="{00000000-0010-0000-0000-000031010000}" name="09.окт" dataDxfId="92"/>
    <tableColumn id="306" xr3:uid="{00000000-0010-0000-0000-000032010000}" name="10.окт" dataDxfId="91"/>
    <tableColumn id="307" xr3:uid="{00000000-0010-0000-0000-000033010000}" name="11.окт" dataDxfId="90"/>
    <tableColumn id="308" xr3:uid="{00000000-0010-0000-0000-000034010000}" name="12.окт" dataDxfId="89"/>
    <tableColumn id="309" xr3:uid="{00000000-0010-0000-0000-000035010000}" name="13.окт" dataDxfId="88"/>
    <tableColumn id="310" xr3:uid="{00000000-0010-0000-0000-000036010000}" name="14.окт" dataDxfId="87"/>
    <tableColumn id="311" xr3:uid="{00000000-0010-0000-0000-000037010000}" name="15.окт" dataDxfId="86"/>
    <tableColumn id="312" xr3:uid="{00000000-0010-0000-0000-000038010000}" name="16.окт" dataDxfId="85"/>
    <tableColumn id="313" xr3:uid="{00000000-0010-0000-0000-000039010000}" name="17.окт" dataDxfId="84"/>
    <tableColumn id="314" xr3:uid="{00000000-0010-0000-0000-00003A010000}" name="18.окт" dataDxfId="83"/>
    <tableColumn id="315" xr3:uid="{00000000-0010-0000-0000-00003B010000}" name="19.окт" dataDxfId="82"/>
    <tableColumn id="316" xr3:uid="{00000000-0010-0000-0000-00003C010000}" name="20.окт" dataDxfId="81"/>
    <tableColumn id="317" xr3:uid="{00000000-0010-0000-0000-00003D010000}" name="21.окт" dataDxfId="80"/>
    <tableColumn id="318" xr3:uid="{00000000-0010-0000-0000-00003E010000}" name="22.окт" dataDxfId="79"/>
    <tableColumn id="319" xr3:uid="{00000000-0010-0000-0000-00003F010000}" name="23.окт" dataDxfId="78"/>
    <tableColumn id="320" xr3:uid="{00000000-0010-0000-0000-000040010000}" name="24.окт" dataDxfId="77"/>
    <tableColumn id="321" xr3:uid="{00000000-0010-0000-0000-000041010000}" name="25.окт" dataDxfId="76"/>
    <tableColumn id="322" xr3:uid="{00000000-0010-0000-0000-000042010000}" name="26.окт" dataDxfId="75"/>
    <tableColumn id="323" xr3:uid="{00000000-0010-0000-0000-000043010000}" name="27.окт" dataDxfId="74"/>
    <tableColumn id="324" xr3:uid="{00000000-0010-0000-0000-000044010000}" name="28.окт" dataDxfId="73"/>
    <tableColumn id="325" xr3:uid="{00000000-0010-0000-0000-000045010000}" name="29.окт" dataDxfId="72"/>
    <tableColumn id="326" xr3:uid="{00000000-0010-0000-0000-000046010000}" name="30.окт" dataDxfId="71"/>
    <tableColumn id="327" xr3:uid="{00000000-0010-0000-0000-000047010000}" name="31.окт" dataDxfId="70"/>
    <tableColumn id="328" xr3:uid="{00000000-0010-0000-0000-000048010000}" name="01.ноя" dataDxfId="69"/>
    <tableColumn id="329" xr3:uid="{00000000-0010-0000-0000-000049010000}" name="02.ноя" dataDxfId="68"/>
    <tableColumn id="330" xr3:uid="{00000000-0010-0000-0000-00004A010000}" name="03.ноя" dataDxfId="67"/>
    <tableColumn id="331" xr3:uid="{00000000-0010-0000-0000-00004B010000}" name="04.ноя" dataDxfId="66"/>
    <tableColumn id="332" xr3:uid="{00000000-0010-0000-0000-00004C010000}" name="05.ноя" dataDxfId="65"/>
    <tableColumn id="333" xr3:uid="{00000000-0010-0000-0000-00004D010000}" name="06.ноя" dataDxfId="64"/>
    <tableColumn id="334" xr3:uid="{00000000-0010-0000-0000-00004E010000}" name="07.ноя" dataDxfId="63"/>
    <tableColumn id="335" xr3:uid="{00000000-0010-0000-0000-00004F010000}" name="08.ноя" dataDxfId="62"/>
    <tableColumn id="336" xr3:uid="{00000000-0010-0000-0000-000050010000}" name="09.ноя" dataDxfId="61"/>
    <tableColumn id="337" xr3:uid="{00000000-0010-0000-0000-000051010000}" name="10.ноя" dataDxfId="60"/>
    <tableColumn id="338" xr3:uid="{00000000-0010-0000-0000-000052010000}" name="11.ноя" dataDxfId="59"/>
    <tableColumn id="339" xr3:uid="{00000000-0010-0000-0000-000053010000}" name="12.ноя" dataDxfId="58"/>
    <tableColumn id="340" xr3:uid="{00000000-0010-0000-0000-000054010000}" name="13.ноя" dataDxfId="57"/>
    <tableColumn id="341" xr3:uid="{00000000-0010-0000-0000-000055010000}" name="14.ноя" dataDxfId="56"/>
    <tableColumn id="342" xr3:uid="{00000000-0010-0000-0000-000056010000}" name="15.ноя" dataDxfId="55"/>
    <tableColumn id="343" xr3:uid="{00000000-0010-0000-0000-000057010000}" name="16.ноя" dataDxfId="54"/>
    <tableColumn id="344" xr3:uid="{00000000-0010-0000-0000-000058010000}" name="17.ноя" dataDxfId="53"/>
    <tableColumn id="345" xr3:uid="{00000000-0010-0000-0000-000059010000}" name="18.ноя" dataDxfId="52"/>
    <tableColumn id="346" xr3:uid="{00000000-0010-0000-0000-00005A010000}" name="19.ноя" dataDxfId="51"/>
    <tableColumn id="347" xr3:uid="{00000000-0010-0000-0000-00005B010000}" name="20.ноя" dataDxfId="50"/>
    <tableColumn id="348" xr3:uid="{00000000-0010-0000-0000-00005C010000}" name="21.ноя" dataDxfId="49"/>
    <tableColumn id="349" xr3:uid="{00000000-0010-0000-0000-00005D010000}" name="22.ноя" dataDxfId="48"/>
    <tableColumn id="350" xr3:uid="{00000000-0010-0000-0000-00005E010000}" name="23.ноя" dataDxfId="47"/>
    <tableColumn id="351" xr3:uid="{00000000-0010-0000-0000-00005F010000}" name="24.ноя" dataDxfId="46"/>
    <tableColumn id="352" xr3:uid="{00000000-0010-0000-0000-000060010000}" name="25.ноя" dataDxfId="45"/>
    <tableColumn id="353" xr3:uid="{00000000-0010-0000-0000-000061010000}" name="26.ноя" dataDxfId="44"/>
    <tableColumn id="354" xr3:uid="{00000000-0010-0000-0000-000062010000}" name="27.ноя" dataDxfId="43"/>
    <tableColumn id="355" xr3:uid="{00000000-0010-0000-0000-000063010000}" name="28.ноя" dataDxfId="42"/>
    <tableColumn id="356" xr3:uid="{00000000-0010-0000-0000-000064010000}" name="29.ноя" dataDxfId="41"/>
    <tableColumn id="357" xr3:uid="{00000000-0010-0000-0000-000065010000}" name="30.ноя" dataDxfId="40"/>
    <tableColumn id="358" xr3:uid="{00000000-0010-0000-0000-000066010000}" name="01.дек" dataDxfId="39"/>
    <tableColumn id="359" xr3:uid="{00000000-0010-0000-0000-000067010000}" name="02.дек" dataDxfId="38"/>
    <tableColumn id="360" xr3:uid="{00000000-0010-0000-0000-000068010000}" name="03.дек" dataDxfId="37"/>
    <tableColumn id="361" xr3:uid="{00000000-0010-0000-0000-000069010000}" name="04.дек" dataDxfId="36"/>
    <tableColumn id="362" xr3:uid="{00000000-0010-0000-0000-00006A010000}" name="05.дек" dataDxfId="35"/>
    <tableColumn id="363" xr3:uid="{00000000-0010-0000-0000-00006B010000}" name="06.дек" dataDxfId="34"/>
    <tableColumn id="364" xr3:uid="{00000000-0010-0000-0000-00006C010000}" name="07.дек" dataDxfId="33"/>
    <tableColumn id="365" xr3:uid="{00000000-0010-0000-0000-00006D010000}" name="08.дек" dataDxfId="32"/>
    <tableColumn id="366" xr3:uid="{00000000-0010-0000-0000-00006E010000}" name="09.дек" dataDxfId="31"/>
    <tableColumn id="367" xr3:uid="{00000000-0010-0000-0000-00006F010000}" name="10.дек" dataDxfId="30"/>
    <tableColumn id="368" xr3:uid="{00000000-0010-0000-0000-000070010000}" name="11.дек" dataDxfId="29"/>
    <tableColumn id="369" xr3:uid="{00000000-0010-0000-0000-000071010000}" name="12.дек" dataDxfId="28"/>
    <tableColumn id="370" xr3:uid="{00000000-0010-0000-0000-000072010000}" name="13.дек" dataDxfId="27"/>
    <tableColumn id="371" xr3:uid="{00000000-0010-0000-0000-000073010000}" name="14.дек" dataDxfId="26"/>
    <tableColumn id="372" xr3:uid="{00000000-0010-0000-0000-000074010000}" name="15.дек" dataDxfId="25"/>
    <tableColumn id="373" xr3:uid="{00000000-0010-0000-0000-000075010000}" name="16.дек" dataDxfId="24"/>
    <tableColumn id="374" xr3:uid="{00000000-0010-0000-0000-000076010000}" name="17.дек" dataDxfId="23"/>
    <tableColumn id="375" xr3:uid="{00000000-0010-0000-0000-000077010000}" name="18.дек" dataDxfId="22"/>
    <tableColumn id="376" xr3:uid="{00000000-0010-0000-0000-000078010000}" name="19.дек" dataDxfId="21"/>
    <tableColumn id="377" xr3:uid="{00000000-0010-0000-0000-000079010000}" name="20.дек" dataDxfId="20"/>
    <tableColumn id="378" xr3:uid="{00000000-0010-0000-0000-00007A010000}" name="21.дек" dataDxfId="19"/>
    <tableColumn id="379" xr3:uid="{00000000-0010-0000-0000-00007B010000}" name="22.дек" dataDxfId="18"/>
    <tableColumn id="380" xr3:uid="{00000000-0010-0000-0000-00007C010000}" name="23.дек" dataDxfId="17"/>
    <tableColumn id="381" xr3:uid="{00000000-0010-0000-0000-00007D010000}" name="24.дек" dataDxfId="16"/>
    <tableColumn id="382" xr3:uid="{00000000-0010-0000-0000-00007E010000}" name="25.дек" dataDxfId="15"/>
    <tableColumn id="383" xr3:uid="{00000000-0010-0000-0000-00007F010000}" name="26.дек" dataDxfId="14"/>
    <tableColumn id="384" xr3:uid="{00000000-0010-0000-0000-000080010000}" name="27.дек" dataDxfId="13"/>
    <tableColumn id="385" xr3:uid="{00000000-0010-0000-0000-000081010000}" name="28.дек" dataDxfId="12"/>
    <tableColumn id="386" xr3:uid="{00000000-0010-0000-0000-000082010000}" name="29.дек" dataDxfId="11"/>
    <tableColumn id="387" xr3:uid="{00000000-0010-0000-0000-000083010000}" name="30.дек" dataDxfId="10"/>
    <tableColumn id="388" xr3:uid="{00000000-0010-0000-0000-000084010000}" name="31.дек" dataDxfId="9"/>
    <tableColumn id="389" xr3:uid="{00000000-0010-0000-0000-000085010000}" name="Столбец1" dataDxfId="8">
      <calculatedColumnFormula>SUM(X8:NX8)</calculatedColumnFormula>
    </tableColumn>
    <tableColumn id="390" xr3:uid="{00000000-0010-0000-0000-000086010000}" name="конец1" dataDxfId="7"/>
    <tableColumn id="391" xr3:uid="{00000000-0010-0000-0000-000087010000}" name="конец2" dataDxfId="6"/>
    <tableColumn id="392" xr3:uid="{00000000-0010-0000-0000-000088010000}" name="конец3" dataDxfId="5"/>
    <tableColumn id="393" xr3:uid="{00000000-0010-0000-0000-000089010000}" name="период1" dataDxfId="4">
      <calculatedColumnFormula>IF(Таблица2[[#This Row],[дата нач.1]]=""," ",TEXT(Таблица2[[#This Row],[дата нач.1]],"Д.МММ")&amp;"-"&amp;CHAR(10)&amp;TEXT(Таблица2[[#This Row],[конец1]],"Д.МММ") )</calculatedColumnFormula>
    </tableColumn>
    <tableColumn id="394" xr3:uid="{00000000-0010-0000-0000-00008A010000}" name="период2" dataDxfId="3">
      <calculatedColumnFormula>IF(Таблица2[[#This Row],[дата нач.2]]=""," ",TEXT(Таблица2[[#This Row],[дата нач.2]],"Д.МММ")&amp;"-"&amp;CHAR(10)&amp;TEXT(Таблица2[[#This Row],[конец2]],"Д.МММ") )</calculatedColumnFormula>
    </tableColumn>
    <tableColumn id="395" xr3:uid="{00000000-0010-0000-0000-00008B010000}" name="период3" dataDxfId="2">
      <calculatedColumnFormula>IF(Таблица2[[#This Row],[дата нач.3]]=""," ",TEXT(Таблица2[[#This Row],[дата нач.3]],"Д.МММ")&amp;"-"&amp;CHAR(10)&amp;TEXT(Таблица2[[#This Row],[конец3]],"Д.МММ") )</calculatedColumnFormula>
    </tableColumn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Таблица1" displayName="Таблица1" ref="A1:NB3" totalsRowShown="0" headerRowDxfId="1">
  <autoFilter ref="A1:NB3" xr:uid="{00000000-0009-0000-0100-000001000000}"/>
  <tableColumns count="366">
    <tableColumn id="1" xr3:uid="{00000000-0010-0000-0100-000001000000}" name="Столбец1" dataDxfId="0"/>
    <tableColumn id="2" xr3:uid="{00000000-0010-0000-0100-000002000000}" name="Столбец2">
      <calculatedColumnFormula>График!X4</calculatedColumnFormula>
    </tableColumn>
    <tableColumn id="3" xr3:uid="{00000000-0010-0000-0100-000003000000}" name="Столбец3">
      <calculatedColumnFormula>График!Y4</calculatedColumnFormula>
    </tableColumn>
    <tableColumn id="4" xr3:uid="{00000000-0010-0000-0100-000004000000}" name="Столбец4">
      <calculatedColumnFormula>График!Z4</calculatedColumnFormula>
    </tableColumn>
    <tableColumn id="5" xr3:uid="{00000000-0010-0000-0100-000005000000}" name="Столбец5">
      <calculatedColumnFormula>График!AA4</calculatedColumnFormula>
    </tableColumn>
    <tableColumn id="6" xr3:uid="{00000000-0010-0000-0100-000006000000}" name="Столбец6">
      <calculatedColumnFormula>График!AB4</calculatedColumnFormula>
    </tableColumn>
    <tableColumn id="7" xr3:uid="{00000000-0010-0000-0100-000007000000}" name="Столбец7">
      <calculatedColumnFormula>График!AC4</calculatedColumnFormula>
    </tableColumn>
    <tableColumn id="8" xr3:uid="{00000000-0010-0000-0100-000008000000}" name="Столбец8">
      <calculatedColumnFormula>График!AD4</calculatedColumnFormula>
    </tableColumn>
    <tableColumn id="9" xr3:uid="{00000000-0010-0000-0100-000009000000}" name="Столбец9">
      <calculatedColumnFormula>График!AE4</calculatedColumnFormula>
    </tableColumn>
    <tableColumn id="10" xr3:uid="{00000000-0010-0000-0100-00000A000000}" name="Столбец10">
      <calculatedColumnFormula>График!AF4</calculatedColumnFormula>
    </tableColumn>
    <tableColumn id="11" xr3:uid="{00000000-0010-0000-0100-00000B000000}" name="Столбец11">
      <calculatedColumnFormula>График!AG4</calculatedColumnFormula>
    </tableColumn>
    <tableColumn id="12" xr3:uid="{00000000-0010-0000-0100-00000C000000}" name="Столбец12">
      <calculatedColumnFormula>График!AH4</calculatedColumnFormula>
    </tableColumn>
    <tableColumn id="13" xr3:uid="{00000000-0010-0000-0100-00000D000000}" name="Столбец13">
      <calculatedColumnFormula>График!AI4</calculatedColumnFormula>
    </tableColumn>
    <tableColumn id="14" xr3:uid="{00000000-0010-0000-0100-00000E000000}" name="Столбец14">
      <calculatedColumnFormula>График!AJ4</calculatedColumnFormula>
    </tableColumn>
    <tableColumn id="15" xr3:uid="{00000000-0010-0000-0100-00000F000000}" name="Столбец15">
      <calculatedColumnFormula>График!AK4</calculatedColumnFormula>
    </tableColumn>
    <tableColumn id="16" xr3:uid="{00000000-0010-0000-0100-000010000000}" name="Столбец16">
      <calculatedColumnFormula>График!AL4</calculatedColumnFormula>
    </tableColumn>
    <tableColumn id="17" xr3:uid="{00000000-0010-0000-0100-000011000000}" name="Столбец17">
      <calculatedColumnFormula>График!AM4</calculatedColumnFormula>
    </tableColumn>
    <tableColumn id="18" xr3:uid="{00000000-0010-0000-0100-000012000000}" name="Столбец18">
      <calculatedColumnFormula>График!AN4</calculatedColumnFormula>
    </tableColumn>
    <tableColumn id="19" xr3:uid="{00000000-0010-0000-0100-000013000000}" name="Столбец19">
      <calculatedColumnFormula>График!AO4</calculatedColumnFormula>
    </tableColumn>
    <tableColumn id="20" xr3:uid="{00000000-0010-0000-0100-000014000000}" name="Столбец20">
      <calculatedColumnFormula>График!AP4</calculatedColumnFormula>
    </tableColumn>
    <tableColumn id="21" xr3:uid="{00000000-0010-0000-0100-000015000000}" name="Столбец21">
      <calculatedColumnFormula>График!AQ4</calculatedColumnFormula>
    </tableColumn>
    <tableColumn id="22" xr3:uid="{00000000-0010-0000-0100-000016000000}" name="Столбец22">
      <calculatedColumnFormula>График!AR4</calculatedColumnFormula>
    </tableColumn>
    <tableColumn id="23" xr3:uid="{00000000-0010-0000-0100-000017000000}" name="Столбец23">
      <calculatedColumnFormula>График!AS4</calculatedColumnFormula>
    </tableColumn>
    <tableColumn id="24" xr3:uid="{00000000-0010-0000-0100-000018000000}" name="Столбец24">
      <calculatedColumnFormula>График!AT4</calculatedColumnFormula>
    </tableColumn>
    <tableColumn id="25" xr3:uid="{00000000-0010-0000-0100-000019000000}" name="Столбец25">
      <calculatedColumnFormula>График!AU4</calculatedColumnFormula>
    </tableColumn>
    <tableColumn id="26" xr3:uid="{00000000-0010-0000-0100-00001A000000}" name="Столбец26">
      <calculatedColumnFormula>График!AV4</calculatedColumnFormula>
    </tableColumn>
    <tableColumn id="27" xr3:uid="{00000000-0010-0000-0100-00001B000000}" name="Столбец27">
      <calculatedColumnFormula>График!AW4</calculatedColumnFormula>
    </tableColumn>
    <tableColumn id="28" xr3:uid="{00000000-0010-0000-0100-00001C000000}" name="Столбец28">
      <calculatedColumnFormula>График!AX4</calculatedColumnFormula>
    </tableColumn>
    <tableColumn id="29" xr3:uid="{00000000-0010-0000-0100-00001D000000}" name="Столбец29">
      <calculatedColumnFormula>График!AY4</calculatedColumnFormula>
    </tableColumn>
    <tableColumn id="30" xr3:uid="{00000000-0010-0000-0100-00001E000000}" name="Столбец30">
      <calculatedColumnFormula>График!AZ4</calculatedColumnFormula>
    </tableColumn>
    <tableColumn id="31" xr3:uid="{00000000-0010-0000-0100-00001F000000}" name="Столбец31">
      <calculatedColumnFormula>График!BA4</calculatedColumnFormula>
    </tableColumn>
    <tableColumn id="32" xr3:uid="{00000000-0010-0000-0100-000020000000}" name="Столбец32">
      <calculatedColumnFormula>График!BB4</calculatedColumnFormula>
    </tableColumn>
    <tableColumn id="33" xr3:uid="{00000000-0010-0000-0100-000021000000}" name="Столбец33">
      <calculatedColumnFormula>График!BC4</calculatedColumnFormula>
    </tableColumn>
    <tableColumn id="34" xr3:uid="{00000000-0010-0000-0100-000022000000}" name="Столбец34">
      <calculatedColumnFormula>График!BD4</calculatedColumnFormula>
    </tableColumn>
    <tableColumn id="35" xr3:uid="{00000000-0010-0000-0100-000023000000}" name="Столбец35">
      <calculatedColumnFormula>График!BE4</calculatedColumnFormula>
    </tableColumn>
    <tableColumn id="36" xr3:uid="{00000000-0010-0000-0100-000024000000}" name="Столбец36">
      <calculatedColumnFormula>График!BF4</calculatedColumnFormula>
    </tableColumn>
    <tableColumn id="37" xr3:uid="{00000000-0010-0000-0100-000025000000}" name="Столбец37">
      <calculatedColumnFormula>График!BG4</calculatedColumnFormula>
    </tableColumn>
    <tableColumn id="38" xr3:uid="{00000000-0010-0000-0100-000026000000}" name="Столбец38">
      <calculatedColumnFormula>График!BH4</calculatedColumnFormula>
    </tableColumn>
    <tableColumn id="39" xr3:uid="{00000000-0010-0000-0100-000027000000}" name="Столбец39">
      <calculatedColumnFormula>График!BI4</calculatedColumnFormula>
    </tableColumn>
    <tableColumn id="40" xr3:uid="{00000000-0010-0000-0100-000028000000}" name="Столбец40">
      <calculatedColumnFormula>График!BJ4</calculatedColumnFormula>
    </tableColumn>
    <tableColumn id="41" xr3:uid="{00000000-0010-0000-0100-000029000000}" name="Столбец41">
      <calculatedColumnFormula>График!BK4</calculatedColumnFormula>
    </tableColumn>
    <tableColumn id="42" xr3:uid="{00000000-0010-0000-0100-00002A000000}" name="Столбец42">
      <calculatedColumnFormula>График!BL4</calculatedColumnFormula>
    </tableColumn>
    <tableColumn id="43" xr3:uid="{00000000-0010-0000-0100-00002B000000}" name="Столбец43">
      <calculatedColumnFormula>График!BM4</calculatedColumnFormula>
    </tableColumn>
    <tableColumn id="44" xr3:uid="{00000000-0010-0000-0100-00002C000000}" name="Столбец44">
      <calculatedColumnFormula>График!BN4</calculatedColumnFormula>
    </tableColumn>
    <tableColumn id="45" xr3:uid="{00000000-0010-0000-0100-00002D000000}" name="Столбец45">
      <calculatedColumnFormula>График!BO4</calculatedColumnFormula>
    </tableColumn>
    <tableColumn id="46" xr3:uid="{00000000-0010-0000-0100-00002E000000}" name="Столбец46">
      <calculatedColumnFormula>График!BP4</calculatedColumnFormula>
    </tableColumn>
    <tableColumn id="47" xr3:uid="{00000000-0010-0000-0100-00002F000000}" name="Столбец47">
      <calculatedColumnFormula>График!BQ4</calculatedColumnFormula>
    </tableColumn>
    <tableColumn id="48" xr3:uid="{00000000-0010-0000-0100-000030000000}" name="Столбец48">
      <calculatedColumnFormula>График!BR4</calculatedColumnFormula>
    </tableColumn>
    <tableColumn id="49" xr3:uid="{00000000-0010-0000-0100-000031000000}" name="Столбец49">
      <calculatedColumnFormula>График!BS4</calculatedColumnFormula>
    </tableColumn>
    <tableColumn id="50" xr3:uid="{00000000-0010-0000-0100-000032000000}" name="Столбец50">
      <calculatedColumnFormula>График!BT4</calculatedColumnFormula>
    </tableColumn>
    <tableColumn id="51" xr3:uid="{00000000-0010-0000-0100-000033000000}" name="Столбец51">
      <calculatedColumnFormula>График!BU4</calculatedColumnFormula>
    </tableColumn>
    <tableColumn id="52" xr3:uid="{00000000-0010-0000-0100-000034000000}" name="Столбец52">
      <calculatedColumnFormula>График!BV4</calculatedColumnFormula>
    </tableColumn>
    <tableColumn id="53" xr3:uid="{00000000-0010-0000-0100-000035000000}" name="Столбец53">
      <calculatedColumnFormula>График!BW4</calculatedColumnFormula>
    </tableColumn>
    <tableColumn id="54" xr3:uid="{00000000-0010-0000-0100-000036000000}" name="Столбец54">
      <calculatedColumnFormula>График!BX4</calculatedColumnFormula>
    </tableColumn>
    <tableColumn id="55" xr3:uid="{00000000-0010-0000-0100-000037000000}" name="Столбец55">
      <calculatedColumnFormula>График!BY4</calculatedColumnFormula>
    </tableColumn>
    <tableColumn id="56" xr3:uid="{00000000-0010-0000-0100-000038000000}" name="Столбец56">
      <calculatedColumnFormula>График!BZ4</calculatedColumnFormula>
    </tableColumn>
    <tableColumn id="57" xr3:uid="{00000000-0010-0000-0100-000039000000}" name="Столбец57">
      <calculatedColumnFormula>График!CA4</calculatedColumnFormula>
    </tableColumn>
    <tableColumn id="58" xr3:uid="{00000000-0010-0000-0100-00003A000000}" name="Столбец58">
      <calculatedColumnFormula>График!CB4</calculatedColumnFormula>
    </tableColumn>
    <tableColumn id="59" xr3:uid="{00000000-0010-0000-0100-00003B000000}" name="Столбец59">
      <calculatedColumnFormula>График!CC4</calculatedColumnFormula>
    </tableColumn>
    <tableColumn id="60" xr3:uid="{00000000-0010-0000-0100-00003C000000}" name="Столбец60">
      <calculatedColumnFormula>График!CD4</calculatedColumnFormula>
    </tableColumn>
    <tableColumn id="61" xr3:uid="{00000000-0010-0000-0100-00003D000000}" name="Столбец61">
      <calculatedColumnFormula>График!CE4</calculatedColumnFormula>
    </tableColumn>
    <tableColumn id="62" xr3:uid="{00000000-0010-0000-0100-00003E000000}" name="Столбец62">
      <calculatedColumnFormula>График!CF4</calculatedColumnFormula>
    </tableColumn>
    <tableColumn id="63" xr3:uid="{00000000-0010-0000-0100-00003F000000}" name="Столбец63">
      <calculatedColumnFormula>График!CG4</calculatedColumnFormula>
    </tableColumn>
    <tableColumn id="64" xr3:uid="{00000000-0010-0000-0100-000040000000}" name="Столбец64">
      <calculatedColumnFormula>График!CH4</calculatedColumnFormula>
    </tableColumn>
    <tableColumn id="65" xr3:uid="{00000000-0010-0000-0100-000041000000}" name="Столбец65">
      <calculatedColumnFormula>График!CI4</calculatedColumnFormula>
    </tableColumn>
    <tableColumn id="66" xr3:uid="{00000000-0010-0000-0100-000042000000}" name="Столбец66">
      <calculatedColumnFormula>График!CJ4</calculatedColumnFormula>
    </tableColumn>
    <tableColumn id="67" xr3:uid="{00000000-0010-0000-0100-000043000000}" name="Столбец67">
      <calculatedColumnFormula>График!CK4</calculatedColumnFormula>
    </tableColumn>
    <tableColumn id="68" xr3:uid="{00000000-0010-0000-0100-000044000000}" name="Столбец68">
      <calculatedColumnFormula>График!CL4</calculatedColumnFormula>
    </tableColumn>
    <tableColumn id="69" xr3:uid="{00000000-0010-0000-0100-000045000000}" name="Столбец69">
      <calculatedColumnFormula>График!CM4</calculatedColumnFormula>
    </tableColumn>
    <tableColumn id="70" xr3:uid="{00000000-0010-0000-0100-000046000000}" name="Столбец70">
      <calculatedColumnFormula>График!CN4</calculatedColumnFormula>
    </tableColumn>
    <tableColumn id="71" xr3:uid="{00000000-0010-0000-0100-000047000000}" name="Столбец71">
      <calculatedColumnFormula>График!CO4</calculatedColumnFormula>
    </tableColumn>
    <tableColumn id="72" xr3:uid="{00000000-0010-0000-0100-000048000000}" name="Столбец72">
      <calculatedColumnFormula>График!CP4</calculatedColumnFormula>
    </tableColumn>
    <tableColumn id="73" xr3:uid="{00000000-0010-0000-0100-000049000000}" name="Столбец73">
      <calculatedColumnFormula>График!CQ4</calculatedColumnFormula>
    </tableColumn>
    <tableColumn id="74" xr3:uid="{00000000-0010-0000-0100-00004A000000}" name="Столбец74">
      <calculatedColumnFormula>График!CR4</calculatedColumnFormula>
    </tableColumn>
    <tableColumn id="75" xr3:uid="{00000000-0010-0000-0100-00004B000000}" name="Столбец75">
      <calculatedColumnFormula>График!CS4</calculatedColumnFormula>
    </tableColumn>
    <tableColumn id="76" xr3:uid="{00000000-0010-0000-0100-00004C000000}" name="Столбец76">
      <calculatedColumnFormula>График!CT4</calculatedColumnFormula>
    </tableColumn>
    <tableColumn id="77" xr3:uid="{00000000-0010-0000-0100-00004D000000}" name="Столбец77">
      <calculatedColumnFormula>График!CU4</calculatedColumnFormula>
    </tableColumn>
    <tableColumn id="78" xr3:uid="{00000000-0010-0000-0100-00004E000000}" name="Столбец78">
      <calculatedColumnFormula>График!CV4</calculatedColumnFormula>
    </tableColumn>
    <tableColumn id="79" xr3:uid="{00000000-0010-0000-0100-00004F000000}" name="Столбец79">
      <calculatedColumnFormula>График!CW4</calculatedColumnFormula>
    </tableColumn>
    <tableColumn id="80" xr3:uid="{00000000-0010-0000-0100-000050000000}" name="Столбец80">
      <calculatedColumnFormula>График!CX4</calculatedColumnFormula>
    </tableColumn>
    <tableColumn id="81" xr3:uid="{00000000-0010-0000-0100-000051000000}" name="Столбец81">
      <calculatedColumnFormula>График!CY4</calculatedColumnFormula>
    </tableColumn>
    <tableColumn id="82" xr3:uid="{00000000-0010-0000-0100-000052000000}" name="Столбец82">
      <calculatedColumnFormula>График!CZ4</calculatedColumnFormula>
    </tableColumn>
    <tableColumn id="83" xr3:uid="{00000000-0010-0000-0100-000053000000}" name="Столбец83">
      <calculatedColumnFormula>График!DA4</calculatedColumnFormula>
    </tableColumn>
    <tableColumn id="84" xr3:uid="{00000000-0010-0000-0100-000054000000}" name="Столбец84">
      <calculatedColumnFormula>График!DB4</calculatedColumnFormula>
    </tableColumn>
    <tableColumn id="85" xr3:uid="{00000000-0010-0000-0100-000055000000}" name="Столбец85">
      <calculatedColumnFormula>График!DC4</calculatedColumnFormula>
    </tableColumn>
    <tableColumn id="86" xr3:uid="{00000000-0010-0000-0100-000056000000}" name="Столбец86">
      <calculatedColumnFormula>График!DD4</calculatedColumnFormula>
    </tableColumn>
    <tableColumn id="87" xr3:uid="{00000000-0010-0000-0100-000057000000}" name="Столбец87">
      <calculatedColumnFormula>График!DE4</calculatedColumnFormula>
    </tableColumn>
    <tableColumn id="88" xr3:uid="{00000000-0010-0000-0100-000058000000}" name="Столбец88">
      <calculatedColumnFormula>График!DF4</calculatedColumnFormula>
    </tableColumn>
    <tableColumn id="89" xr3:uid="{00000000-0010-0000-0100-000059000000}" name="Столбец89">
      <calculatedColumnFormula>График!DG4</calculatedColumnFormula>
    </tableColumn>
    <tableColumn id="90" xr3:uid="{00000000-0010-0000-0100-00005A000000}" name="Столбец90">
      <calculatedColumnFormula>График!DH4</calculatedColumnFormula>
    </tableColumn>
    <tableColumn id="91" xr3:uid="{00000000-0010-0000-0100-00005B000000}" name="Столбец91">
      <calculatedColumnFormula>График!DI4</calculatedColumnFormula>
    </tableColumn>
    <tableColumn id="92" xr3:uid="{00000000-0010-0000-0100-00005C000000}" name="Столбец92">
      <calculatedColumnFormula>График!DJ4</calculatedColumnFormula>
    </tableColumn>
    <tableColumn id="93" xr3:uid="{00000000-0010-0000-0100-00005D000000}" name="Столбец93">
      <calculatedColumnFormula>График!DK4</calculatedColumnFormula>
    </tableColumn>
    <tableColumn id="94" xr3:uid="{00000000-0010-0000-0100-00005E000000}" name="Столбец94">
      <calculatedColumnFormula>График!DL4</calculatedColumnFormula>
    </tableColumn>
    <tableColumn id="95" xr3:uid="{00000000-0010-0000-0100-00005F000000}" name="Столбец95">
      <calculatedColumnFormula>График!DM4</calculatedColumnFormula>
    </tableColumn>
    <tableColumn id="96" xr3:uid="{00000000-0010-0000-0100-000060000000}" name="Столбец96">
      <calculatedColumnFormula>График!DN4</calculatedColumnFormula>
    </tableColumn>
    <tableColumn id="97" xr3:uid="{00000000-0010-0000-0100-000061000000}" name="Столбец97">
      <calculatedColumnFormula>График!DO4</calculatedColumnFormula>
    </tableColumn>
    <tableColumn id="98" xr3:uid="{00000000-0010-0000-0100-000062000000}" name="Столбец98">
      <calculatedColumnFormula>График!DP4</calculatedColumnFormula>
    </tableColumn>
    <tableColumn id="99" xr3:uid="{00000000-0010-0000-0100-000063000000}" name="Столбец99">
      <calculatedColumnFormula>График!DQ4</calculatedColumnFormula>
    </tableColumn>
    <tableColumn id="100" xr3:uid="{00000000-0010-0000-0100-000064000000}" name="Столбец100">
      <calculatedColumnFormula>График!DR4</calculatedColumnFormula>
    </tableColumn>
    <tableColumn id="101" xr3:uid="{00000000-0010-0000-0100-000065000000}" name="Столбец101">
      <calculatedColumnFormula>График!DS4</calculatedColumnFormula>
    </tableColumn>
    <tableColumn id="102" xr3:uid="{00000000-0010-0000-0100-000066000000}" name="Столбец102">
      <calculatedColumnFormula>График!DT4</calculatedColumnFormula>
    </tableColumn>
    <tableColumn id="103" xr3:uid="{00000000-0010-0000-0100-000067000000}" name="Столбец103">
      <calculatedColumnFormula>График!DU4</calculatedColumnFormula>
    </tableColumn>
    <tableColumn id="104" xr3:uid="{00000000-0010-0000-0100-000068000000}" name="Столбец104">
      <calculatedColumnFormula>График!DV4</calculatedColumnFormula>
    </tableColumn>
    <tableColumn id="105" xr3:uid="{00000000-0010-0000-0100-000069000000}" name="Столбец105">
      <calculatedColumnFormula>График!DW4</calculatedColumnFormula>
    </tableColumn>
    <tableColumn id="106" xr3:uid="{00000000-0010-0000-0100-00006A000000}" name="Столбец106">
      <calculatedColumnFormula>График!DX4</calculatedColumnFormula>
    </tableColumn>
    <tableColumn id="107" xr3:uid="{00000000-0010-0000-0100-00006B000000}" name="Столбец107">
      <calculatedColumnFormula>График!DY4</calculatedColumnFormula>
    </tableColumn>
    <tableColumn id="108" xr3:uid="{00000000-0010-0000-0100-00006C000000}" name="Столбец108">
      <calculatedColumnFormula>График!DZ4</calculatedColumnFormula>
    </tableColumn>
    <tableColumn id="109" xr3:uid="{00000000-0010-0000-0100-00006D000000}" name="Столбец109">
      <calculatedColumnFormula>График!EA4</calculatedColumnFormula>
    </tableColumn>
    <tableColumn id="110" xr3:uid="{00000000-0010-0000-0100-00006E000000}" name="Столбец110">
      <calculatedColumnFormula>График!EB4</calculatedColumnFormula>
    </tableColumn>
    <tableColumn id="111" xr3:uid="{00000000-0010-0000-0100-00006F000000}" name="Столбец111">
      <calculatedColumnFormula>График!EC4</calculatedColumnFormula>
    </tableColumn>
    <tableColumn id="112" xr3:uid="{00000000-0010-0000-0100-000070000000}" name="Столбец112">
      <calculatedColumnFormula>График!ED4</calculatedColumnFormula>
    </tableColumn>
    <tableColumn id="113" xr3:uid="{00000000-0010-0000-0100-000071000000}" name="Столбец113">
      <calculatedColumnFormula>График!EE4</calculatedColumnFormula>
    </tableColumn>
    <tableColumn id="114" xr3:uid="{00000000-0010-0000-0100-000072000000}" name="Столбец114">
      <calculatedColumnFormula>График!EF4</calculatedColumnFormula>
    </tableColumn>
    <tableColumn id="115" xr3:uid="{00000000-0010-0000-0100-000073000000}" name="Столбец115">
      <calculatedColumnFormula>График!EG4</calculatedColumnFormula>
    </tableColumn>
    <tableColumn id="116" xr3:uid="{00000000-0010-0000-0100-000074000000}" name="Столбец116">
      <calculatedColumnFormula>График!EH4</calculatedColumnFormula>
    </tableColumn>
    <tableColumn id="117" xr3:uid="{00000000-0010-0000-0100-000075000000}" name="Столбец117">
      <calculatedColumnFormula>График!EI4</calculatedColumnFormula>
    </tableColumn>
    <tableColumn id="118" xr3:uid="{00000000-0010-0000-0100-000076000000}" name="Столбец118">
      <calculatedColumnFormula>График!EJ4</calculatedColumnFormula>
    </tableColumn>
    <tableColumn id="119" xr3:uid="{00000000-0010-0000-0100-000077000000}" name="Столбец119">
      <calculatedColumnFormula>График!EK4</calculatedColumnFormula>
    </tableColumn>
    <tableColumn id="120" xr3:uid="{00000000-0010-0000-0100-000078000000}" name="Столбец120">
      <calculatedColumnFormula>График!EL4</calculatedColumnFormula>
    </tableColumn>
    <tableColumn id="121" xr3:uid="{00000000-0010-0000-0100-000079000000}" name="Столбец121">
      <calculatedColumnFormula>График!EM4</calculatedColumnFormula>
    </tableColumn>
    <tableColumn id="122" xr3:uid="{00000000-0010-0000-0100-00007A000000}" name="Столбец122">
      <calculatedColumnFormula>График!EN4</calculatedColumnFormula>
    </tableColumn>
    <tableColumn id="123" xr3:uid="{00000000-0010-0000-0100-00007B000000}" name="Столбец123">
      <calculatedColumnFormula>График!EO4</calculatedColumnFormula>
    </tableColumn>
    <tableColumn id="124" xr3:uid="{00000000-0010-0000-0100-00007C000000}" name="Столбец124">
      <calculatedColumnFormula>График!EP4</calculatedColumnFormula>
    </tableColumn>
    <tableColumn id="125" xr3:uid="{00000000-0010-0000-0100-00007D000000}" name="Столбец125">
      <calculatedColumnFormula>График!EQ4</calculatedColumnFormula>
    </tableColumn>
    <tableColumn id="126" xr3:uid="{00000000-0010-0000-0100-00007E000000}" name="Столбец126">
      <calculatedColumnFormula>График!ER4</calculatedColumnFormula>
    </tableColumn>
    <tableColumn id="127" xr3:uid="{00000000-0010-0000-0100-00007F000000}" name="Столбец127">
      <calculatedColumnFormula>График!ES4</calculatedColumnFormula>
    </tableColumn>
    <tableColumn id="128" xr3:uid="{00000000-0010-0000-0100-000080000000}" name="Столбец128">
      <calculatedColumnFormula>График!ET4</calculatedColumnFormula>
    </tableColumn>
    <tableColumn id="129" xr3:uid="{00000000-0010-0000-0100-000081000000}" name="Столбец129">
      <calculatedColumnFormula>График!EU4</calculatedColumnFormula>
    </tableColumn>
    <tableColumn id="130" xr3:uid="{00000000-0010-0000-0100-000082000000}" name="Столбец130">
      <calculatedColumnFormula>График!EV4</calculatedColumnFormula>
    </tableColumn>
    <tableColumn id="131" xr3:uid="{00000000-0010-0000-0100-000083000000}" name="Столбец131">
      <calculatedColumnFormula>График!EW4</calculatedColumnFormula>
    </tableColumn>
    <tableColumn id="132" xr3:uid="{00000000-0010-0000-0100-000084000000}" name="Столбец132">
      <calculatedColumnFormula>График!EX4</calculatedColumnFormula>
    </tableColumn>
    <tableColumn id="133" xr3:uid="{00000000-0010-0000-0100-000085000000}" name="Столбец133">
      <calculatedColumnFormula>График!EY4</calculatedColumnFormula>
    </tableColumn>
    <tableColumn id="134" xr3:uid="{00000000-0010-0000-0100-000086000000}" name="Столбец134">
      <calculatedColumnFormula>График!EZ4</calculatedColumnFormula>
    </tableColumn>
    <tableColumn id="135" xr3:uid="{00000000-0010-0000-0100-000087000000}" name="Столбец135">
      <calculatedColumnFormula>График!FA4</calculatedColumnFormula>
    </tableColumn>
    <tableColumn id="136" xr3:uid="{00000000-0010-0000-0100-000088000000}" name="Столбец136">
      <calculatedColumnFormula>График!FB4</calculatedColumnFormula>
    </tableColumn>
    <tableColumn id="137" xr3:uid="{00000000-0010-0000-0100-000089000000}" name="Столбец137">
      <calculatedColumnFormula>График!FC4</calculatedColumnFormula>
    </tableColumn>
    <tableColumn id="138" xr3:uid="{00000000-0010-0000-0100-00008A000000}" name="Столбец138">
      <calculatedColumnFormula>График!FD4</calculatedColumnFormula>
    </tableColumn>
    <tableColumn id="139" xr3:uid="{00000000-0010-0000-0100-00008B000000}" name="Столбец139">
      <calculatedColumnFormula>График!FE4</calculatedColumnFormula>
    </tableColumn>
    <tableColumn id="140" xr3:uid="{00000000-0010-0000-0100-00008C000000}" name="Столбец140">
      <calculatedColumnFormula>График!FF4</calculatedColumnFormula>
    </tableColumn>
    <tableColumn id="141" xr3:uid="{00000000-0010-0000-0100-00008D000000}" name="Столбец141">
      <calculatedColumnFormula>График!FG4</calculatedColumnFormula>
    </tableColumn>
    <tableColumn id="142" xr3:uid="{00000000-0010-0000-0100-00008E000000}" name="Столбец142">
      <calculatedColumnFormula>График!FH4</calculatedColumnFormula>
    </tableColumn>
    <tableColumn id="143" xr3:uid="{00000000-0010-0000-0100-00008F000000}" name="Столбец143">
      <calculatedColumnFormula>График!FI4</calculatedColumnFormula>
    </tableColumn>
    <tableColumn id="144" xr3:uid="{00000000-0010-0000-0100-000090000000}" name="Столбец144">
      <calculatedColumnFormula>График!FJ4</calculatedColumnFormula>
    </tableColumn>
    <tableColumn id="145" xr3:uid="{00000000-0010-0000-0100-000091000000}" name="Столбец145">
      <calculatedColumnFormula>График!FK4</calculatedColumnFormula>
    </tableColumn>
    <tableColumn id="146" xr3:uid="{00000000-0010-0000-0100-000092000000}" name="Столбец146">
      <calculatedColumnFormula>График!FL4</calculatedColumnFormula>
    </tableColumn>
    <tableColumn id="147" xr3:uid="{00000000-0010-0000-0100-000093000000}" name="Столбец147">
      <calculatedColumnFormula>График!FM4</calculatedColumnFormula>
    </tableColumn>
    <tableColumn id="148" xr3:uid="{00000000-0010-0000-0100-000094000000}" name="Столбец148">
      <calculatedColumnFormula>График!FN4</calculatedColumnFormula>
    </tableColumn>
    <tableColumn id="149" xr3:uid="{00000000-0010-0000-0100-000095000000}" name="Столбец149">
      <calculatedColumnFormula>График!FO4</calculatedColumnFormula>
    </tableColumn>
    <tableColumn id="150" xr3:uid="{00000000-0010-0000-0100-000096000000}" name="Столбец150">
      <calculatedColumnFormula>График!FP4</calculatedColumnFormula>
    </tableColumn>
    <tableColumn id="151" xr3:uid="{00000000-0010-0000-0100-000097000000}" name="Столбец151">
      <calculatedColumnFormula>График!FQ4</calculatedColumnFormula>
    </tableColumn>
    <tableColumn id="152" xr3:uid="{00000000-0010-0000-0100-000098000000}" name="Столбец152">
      <calculatedColumnFormula>График!FR4</calculatedColumnFormula>
    </tableColumn>
    <tableColumn id="153" xr3:uid="{00000000-0010-0000-0100-000099000000}" name="Столбец153">
      <calculatedColumnFormula>График!FS4</calculatedColumnFormula>
    </tableColumn>
    <tableColumn id="154" xr3:uid="{00000000-0010-0000-0100-00009A000000}" name="Столбец154">
      <calculatedColumnFormula>График!FT4</calculatedColumnFormula>
    </tableColumn>
    <tableColumn id="155" xr3:uid="{00000000-0010-0000-0100-00009B000000}" name="Столбец155">
      <calculatedColumnFormula>График!FU4</calculatedColumnFormula>
    </tableColumn>
    <tableColumn id="156" xr3:uid="{00000000-0010-0000-0100-00009C000000}" name="Столбец156">
      <calculatedColumnFormula>График!FV4</calculatedColumnFormula>
    </tableColumn>
    <tableColumn id="157" xr3:uid="{00000000-0010-0000-0100-00009D000000}" name="Столбец157">
      <calculatedColumnFormula>График!FW4</calculatedColumnFormula>
    </tableColumn>
    <tableColumn id="158" xr3:uid="{00000000-0010-0000-0100-00009E000000}" name="Столбец158">
      <calculatedColumnFormula>График!FX4</calculatedColumnFormula>
    </tableColumn>
    <tableColumn id="159" xr3:uid="{00000000-0010-0000-0100-00009F000000}" name="Столбец159">
      <calculatedColumnFormula>График!FY4</calculatedColumnFormula>
    </tableColumn>
    <tableColumn id="160" xr3:uid="{00000000-0010-0000-0100-0000A0000000}" name="Столбец160">
      <calculatedColumnFormula>График!FZ4</calculatedColumnFormula>
    </tableColumn>
    <tableColumn id="161" xr3:uid="{00000000-0010-0000-0100-0000A1000000}" name="Столбец161">
      <calculatedColumnFormula>График!GA4</calculatedColumnFormula>
    </tableColumn>
    <tableColumn id="162" xr3:uid="{00000000-0010-0000-0100-0000A2000000}" name="Столбец162">
      <calculatedColumnFormula>График!GB4</calculatedColumnFormula>
    </tableColumn>
    <tableColumn id="163" xr3:uid="{00000000-0010-0000-0100-0000A3000000}" name="Столбец163">
      <calculatedColumnFormula>График!GC4</calculatedColumnFormula>
    </tableColumn>
    <tableColumn id="164" xr3:uid="{00000000-0010-0000-0100-0000A4000000}" name="Столбец164">
      <calculatedColumnFormula>График!GD4</calculatedColumnFormula>
    </tableColumn>
    <tableColumn id="165" xr3:uid="{00000000-0010-0000-0100-0000A5000000}" name="Столбец165">
      <calculatedColumnFormula>График!GE4</calculatedColumnFormula>
    </tableColumn>
    <tableColumn id="166" xr3:uid="{00000000-0010-0000-0100-0000A6000000}" name="Столбец166">
      <calculatedColumnFormula>График!GF4</calculatedColumnFormula>
    </tableColumn>
    <tableColumn id="167" xr3:uid="{00000000-0010-0000-0100-0000A7000000}" name="Столбец167">
      <calculatedColumnFormula>График!GG4</calculatedColumnFormula>
    </tableColumn>
    <tableColumn id="168" xr3:uid="{00000000-0010-0000-0100-0000A8000000}" name="Столбец168">
      <calculatedColumnFormula>График!GH4</calculatedColumnFormula>
    </tableColumn>
    <tableColumn id="169" xr3:uid="{00000000-0010-0000-0100-0000A9000000}" name="Столбец169">
      <calculatedColumnFormula>График!GI4</calculatedColumnFormula>
    </tableColumn>
    <tableColumn id="170" xr3:uid="{00000000-0010-0000-0100-0000AA000000}" name="Столбец170">
      <calculatedColumnFormula>График!GJ4</calculatedColumnFormula>
    </tableColumn>
    <tableColumn id="171" xr3:uid="{00000000-0010-0000-0100-0000AB000000}" name="Столбец171">
      <calculatedColumnFormula>График!GK4</calculatedColumnFormula>
    </tableColumn>
    <tableColumn id="172" xr3:uid="{00000000-0010-0000-0100-0000AC000000}" name="Столбец172">
      <calculatedColumnFormula>График!GL4</calculatedColumnFormula>
    </tableColumn>
    <tableColumn id="173" xr3:uid="{00000000-0010-0000-0100-0000AD000000}" name="Столбец173">
      <calculatedColumnFormula>График!GM4</calculatedColumnFormula>
    </tableColumn>
    <tableColumn id="174" xr3:uid="{00000000-0010-0000-0100-0000AE000000}" name="Столбец174">
      <calculatedColumnFormula>График!GN4</calculatedColumnFormula>
    </tableColumn>
    <tableColumn id="175" xr3:uid="{00000000-0010-0000-0100-0000AF000000}" name="Столбец175">
      <calculatedColumnFormula>График!GO4</calculatedColumnFormula>
    </tableColumn>
    <tableColumn id="176" xr3:uid="{00000000-0010-0000-0100-0000B0000000}" name="Столбец176">
      <calculatedColumnFormula>График!GP4</calculatedColumnFormula>
    </tableColumn>
    <tableColumn id="177" xr3:uid="{00000000-0010-0000-0100-0000B1000000}" name="Столбец177">
      <calculatedColumnFormula>График!GQ4</calculatedColumnFormula>
    </tableColumn>
    <tableColumn id="178" xr3:uid="{00000000-0010-0000-0100-0000B2000000}" name="Столбец178">
      <calculatedColumnFormula>График!GR4</calculatedColumnFormula>
    </tableColumn>
    <tableColumn id="179" xr3:uid="{00000000-0010-0000-0100-0000B3000000}" name="Столбец179">
      <calculatedColumnFormula>График!GS4</calculatedColumnFormula>
    </tableColumn>
    <tableColumn id="180" xr3:uid="{00000000-0010-0000-0100-0000B4000000}" name="Столбец180">
      <calculatedColumnFormula>График!GT4</calculatedColumnFormula>
    </tableColumn>
    <tableColumn id="181" xr3:uid="{00000000-0010-0000-0100-0000B5000000}" name="Столбец181">
      <calculatedColumnFormula>График!GU4</calculatedColumnFormula>
    </tableColumn>
    <tableColumn id="182" xr3:uid="{00000000-0010-0000-0100-0000B6000000}" name="Столбец182">
      <calculatedColumnFormula>График!GV4</calculatedColumnFormula>
    </tableColumn>
    <tableColumn id="183" xr3:uid="{00000000-0010-0000-0100-0000B7000000}" name="Столбец183">
      <calculatedColumnFormula>График!GW4</calculatedColumnFormula>
    </tableColumn>
    <tableColumn id="184" xr3:uid="{00000000-0010-0000-0100-0000B8000000}" name="Столбец184">
      <calculatedColumnFormula>График!GX4</calculatedColumnFormula>
    </tableColumn>
    <tableColumn id="185" xr3:uid="{00000000-0010-0000-0100-0000B9000000}" name="Столбец185">
      <calculatedColumnFormula>График!GY4</calculatedColumnFormula>
    </tableColumn>
    <tableColumn id="186" xr3:uid="{00000000-0010-0000-0100-0000BA000000}" name="Столбец186">
      <calculatedColumnFormula>График!GZ4</calculatedColumnFormula>
    </tableColumn>
    <tableColumn id="187" xr3:uid="{00000000-0010-0000-0100-0000BB000000}" name="Столбец187">
      <calculatedColumnFormula>График!HA4</calculatedColumnFormula>
    </tableColumn>
    <tableColumn id="188" xr3:uid="{00000000-0010-0000-0100-0000BC000000}" name="Столбец188">
      <calculatedColumnFormula>График!HB4</calculatedColumnFormula>
    </tableColumn>
    <tableColumn id="189" xr3:uid="{00000000-0010-0000-0100-0000BD000000}" name="Столбец189">
      <calculatedColumnFormula>График!HC4</calculatedColumnFormula>
    </tableColumn>
    <tableColumn id="190" xr3:uid="{00000000-0010-0000-0100-0000BE000000}" name="Столбец190">
      <calculatedColumnFormula>График!HD4</calculatedColumnFormula>
    </tableColumn>
    <tableColumn id="191" xr3:uid="{00000000-0010-0000-0100-0000BF000000}" name="Столбец191">
      <calculatedColumnFormula>График!HE4</calculatedColumnFormula>
    </tableColumn>
    <tableColumn id="192" xr3:uid="{00000000-0010-0000-0100-0000C0000000}" name="Столбец192">
      <calculatedColumnFormula>График!HF4</calculatedColumnFormula>
    </tableColumn>
    <tableColumn id="193" xr3:uid="{00000000-0010-0000-0100-0000C1000000}" name="Столбец193">
      <calculatedColumnFormula>График!HG4</calculatedColumnFormula>
    </tableColumn>
    <tableColumn id="194" xr3:uid="{00000000-0010-0000-0100-0000C2000000}" name="Столбец194">
      <calculatedColumnFormula>График!HH4</calculatedColumnFormula>
    </tableColumn>
    <tableColumn id="195" xr3:uid="{00000000-0010-0000-0100-0000C3000000}" name="Столбец195">
      <calculatedColumnFormula>График!HI4</calculatedColumnFormula>
    </tableColumn>
    <tableColumn id="196" xr3:uid="{00000000-0010-0000-0100-0000C4000000}" name="Столбец196">
      <calculatedColumnFormula>График!HJ4</calculatedColumnFormula>
    </tableColumn>
    <tableColumn id="197" xr3:uid="{00000000-0010-0000-0100-0000C5000000}" name="Столбец197">
      <calculatedColumnFormula>График!HK4</calculatedColumnFormula>
    </tableColumn>
    <tableColumn id="198" xr3:uid="{00000000-0010-0000-0100-0000C6000000}" name="Столбец198">
      <calculatedColumnFormula>График!HL4</calculatedColumnFormula>
    </tableColumn>
    <tableColumn id="199" xr3:uid="{00000000-0010-0000-0100-0000C7000000}" name="Столбец199">
      <calculatedColumnFormula>График!HM4</calculatedColumnFormula>
    </tableColumn>
    <tableColumn id="200" xr3:uid="{00000000-0010-0000-0100-0000C8000000}" name="Столбец200">
      <calculatedColumnFormula>График!HN4</calculatedColumnFormula>
    </tableColumn>
    <tableColumn id="201" xr3:uid="{00000000-0010-0000-0100-0000C9000000}" name="Столбец201">
      <calculatedColumnFormula>График!HO4</calculatedColumnFormula>
    </tableColumn>
    <tableColumn id="202" xr3:uid="{00000000-0010-0000-0100-0000CA000000}" name="Столбец202">
      <calculatedColumnFormula>График!HP4</calculatedColumnFormula>
    </tableColumn>
    <tableColumn id="203" xr3:uid="{00000000-0010-0000-0100-0000CB000000}" name="Столбец203">
      <calculatedColumnFormula>График!HQ4</calculatedColumnFormula>
    </tableColumn>
    <tableColumn id="204" xr3:uid="{00000000-0010-0000-0100-0000CC000000}" name="Столбец204">
      <calculatedColumnFormula>График!HR4</calculatedColumnFormula>
    </tableColumn>
    <tableColumn id="205" xr3:uid="{00000000-0010-0000-0100-0000CD000000}" name="Столбец205">
      <calculatedColumnFormula>График!HS4</calculatedColumnFormula>
    </tableColumn>
    <tableColumn id="206" xr3:uid="{00000000-0010-0000-0100-0000CE000000}" name="Столбец206">
      <calculatedColumnFormula>График!HT4</calculatedColumnFormula>
    </tableColumn>
    <tableColumn id="207" xr3:uid="{00000000-0010-0000-0100-0000CF000000}" name="Столбец207">
      <calculatedColumnFormula>График!HU4</calculatedColumnFormula>
    </tableColumn>
    <tableColumn id="208" xr3:uid="{00000000-0010-0000-0100-0000D0000000}" name="Столбец208">
      <calculatedColumnFormula>График!HV4</calculatedColumnFormula>
    </tableColumn>
    <tableColumn id="209" xr3:uid="{00000000-0010-0000-0100-0000D1000000}" name="Столбец209">
      <calculatedColumnFormula>График!HW4</calculatedColumnFormula>
    </tableColumn>
    <tableColumn id="210" xr3:uid="{00000000-0010-0000-0100-0000D2000000}" name="Столбец210">
      <calculatedColumnFormula>График!HX4</calculatedColumnFormula>
    </tableColumn>
    <tableColumn id="211" xr3:uid="{00000000-0010-0000-0100-0000D3000000}" name="Столбец211">
      <calculatedColumnFormula>График!HY4</calculatedColumnFormula>
    </tableColumn>
    <tableColumn id="212" xr3:uid="{00000000-0010-0000-0100-0000D4000000}" name="Столбец212">
      <calculatedColumnFormula>График!HZ4</calculatedColumnFormula>
    </tableColumn>
    <tableColumn id="213" xr3:uid="{00000000-0010-0000-0100-0000D5000000}" name="Столбец213">
      <calculatedColumnFormula>График!IA4</calculatedColumnFormula>
    </tableColumn>
    <tableColumn id="214" xr3:uid="{00000000-0010-0000-0100-0000D6000000}" name="Столбец214">
      <calculatedColumnFormula>График!IB4</calculatedColumnFormula>
    </tableColumn>
    <tableColumn id="215" xr3:uid="{00000000-0010-0000-0100-0000D7000000}" name="Столбец215">
      <calculatedColumnFormula>График!IC4</calculatedColumnFormula>
    </tableColumn>
    <tableColumn id="216" xr3:uid="{00000000-0010-0000-0100-0000D8000000}" name="Столбец216">
      <calculatedColumnFormula>График!ID4</calculatedColumnFormula>
    </tableColumn>
    <tableColumn id="217" xr3:uid="{00000000-0010-0000-0100-0000D9000000}" name="Столбец217">
      <calculatedColumnFormula>График!IE4</calculatedColumnFormula>
    </tableColumn>
    <tableColumn id="218" xr3:uid="{00000000-0010-0000-0100-0000DA000000}" name="Столбец218">
      <calculatedColumnFormula>График!IF4</calculatedColumnFormula>
    </tableColumn>
    <tableColumn id="219" xr3:uid="{00000000-0010-0000-0100-0000DB000000}" name="Столбец219">
      <calculatedColumnFormula>График!IG4</calculatedColumnFormula>
    </tableColumn>
    <tableColumn id="220" xr3:uid="{00000000-0010-0000-0100-0000DC000000}" name="Столбец220">
      <calculatedColumnFormula>График!IH4</calculatedColumnFormula>
    </tableColumn>
    <tableColumn id="221" xr3:uid="{00000000-0010-0000-0100-0000DD000000}" name="Столбец221">
      <calculatedColumnFormula>График!II4</calculatedColumnFormula>
    </tableColumn>
    <tableColumn id="222" xr3:uid="{00000000-0010-0000-0100-0000DE000000}" name="Столбец222">
      <calculatedColumnFormula>График!IJ4</calculatedColumnFormula>
    </tableColumn>
    <tableColumn id="223" xr3:uid="{00000000-0010-0000-0100-0000DF000000}" name="Столбец223">
      <calculatedColumnFormula>График!IK4</calculatedColumnFormula>
    </tableColumn>
    <tableColumn id="224" xr3:uid="{00000000-0010-0000-0100-0000E0000000}" name="Столбец224">
      <calculatedColumnFormula>График!IL4</calculatedColumnFormula>
    </tableColumn>
    <tableColumn id="225" xr3:uid="{00000000-0010-0000-0100-0000E1000000}" name="Столбец225">
      <calculatedColumnFormula>График!IM4</calculatedColumnFormula>
    </tableColumn>
    <tableColumn id="226" xr3:uid="{00000000-0010-0000-0100-0000E2000000}" name="Столбец226">
      <calculatedColumnFormula>График!IN4</calculatedColumnFormula>
    </tableColumn>
    <tableColumn id="227" xr3:uid="{00000000-0010-0000-0100-0000E3000000}" name="Столбец227">
      <calculatedColumnFormula>График!IO4</calculatedColumnFormula>
    </tableColumn>
    <tableColumn id="228" xr3:uid="{00000000-0010-0000-0100-0000E4000000}" name="Столбец228">
      <calculatedColumnFormula>График!IP4</calculatedColumnFormula>
    </tableColumn>
    <tableColumn id="229" xr3:uid="{00000000-0010-0000-0100-0000E5000000}" name="Столбец229">
      <calculatedColumnFormula>График!IQ4</calculatedColumnFormula>
    </tableColumn>
    <tableColumn id="230" xr3:uid="{00000000-0010-0000-0100-0000E6000000}" name="Столбец230">
      <calculatedColumnFormula>График!IR4</calculatedColumnFormula>
    </tableColumn>
    <tableColumn id="231" xr3:uid="{00000000-0010-0000-0100-0000E7000000}" name="Столбец231">
      <calculatedColumnFormula>График!IS4</calculatedColumnFormula>
    </tableColumn>
    <tableColumn id="232" xr3:uid="{00000000-0010-0000-0100-0000E8000000}" name="Столбец232">
      <calculatedColumnFormula>График!IT4</calculatedColumnFormula>
    </tableColumn>
    <tableColumn id="233" xr3:uid="{00000000-0010-0000-0100-0000E9000000}" name="Столбец233">
      <calculatedColumnFormula>График!IU4</calculatedColumnFormula>
    </tableColumn>
    <tableColumn id="234" xr3:uid="{00000000-0010-0000-0100-0000EA000000}" name="Столбец234">
      <calculatedColumnFormula>График!IV4</calculatedColumnFormula>
    </tableColumn>
    <tableColumn id="235" xr3:uid="{00000000-0010-0000-0100-0000EB000000}" name="Столбец235">
      <calculatedColumnFormula>График!IW4</calculatedColumnFormula>
    </tableColumn>
    <tableColumn id="236" xr3:uid="{00000000-0010-0000-0100-0000EC000000}" name="Столбец236">
      <calculatedColumnFormula>График!IX4</calculatedColumnFormula>
    </tableColumn>
    <tableColumn id="237" xr3:uid="{00000000-0010-0000-0100-0000ED000000}" name="Столбец237">
      <calculatedColumnFormula>График!IY4</calculatedColumnFormula>
    </tableColumn>
    <tableColumn id="238" xr3:uid="{00000000-0010-0000-0100-0000EE000000}" name="Столбец238">
      <calculatedColumnFormula>График!IZ4</calculatedColumnFormula>
    </tableColumn>
    <tableColumn id="239" xr3:uid="{00000000-0010-0000-0100-0000EF000000}" name="Столбец239">
      <calculatedColumnFormula>График!JA4</calculatedColumnFormula>
    </tableColumn>
    <tableColumn id="240" xr3:uid="{00000000-0010-0000-0100-0000F0000000}" name="Столбец240">
      <calculatedColumnFormula>График!JB4</calculatedColumnFormula>
    </tableColumn>
    <tableColumn id="241" xr3:uid="{00000000-0010-0000-0100-0000F1000000}" name="Столбец241">
      <calculatedColumnFormula>График!JC4</calculatedColumnFormula>
    </tableColumn>
    <tableColumn id="242" xr3:uid="{00000000-0010-0000-0100-0000F2000000}" name="Столбец242">
      <calculatedColumnFormula>График!JD4</calculatedColumnFormula>
    </tableColumn>
    <tableColumn id="243" xr3:uid="{00000000-0010-0000-0100-0000F3000000}" name="Столбец243">
      <calculatedColumnFormula>График!JE4</calculatedColumnFormula>
    </tableColumn>
    <tableColumn id="244" xr3:uid="{00000000-0010-0000-0100-0000F4000000}" name="Столбец244">
      <calculatedColumnFormula>График!JF4</calculatedColumnFormula>
    </tableColumn>
    <tableColumn id="245" xr3:uid="{00000000-0010-0000-0100-0000F5000000}" name="Столбец245">
      <calculatedColumnFormula>График!JG4</calculatedColumnFormula>
    </tableColumn>
    <tableColumn id="246" xr3:uid="{00000000-0010-0000-0100-0000F6000000}" name="Столбец246">
      <calculatedColumnFormula>График!JH4</calculatedColumnFormula>
    </tableColumn>
    <tableColumn id="247" xr3:uid="{00000000-0010-0000-0100-0000F7000000}" name="Столбец247">
      <calculatedColumnFormula>График!JI4</calculatedColumnFormula>
    </tableColumn>
    <tableColumn id="248" xr3:uid="{00000000-0010-0000-0100-0000F8000000}" name="Столбец248">
      <calculatedColumnFormula>График!JJ4</calculatedColumnFormula>
    </tableColumn>
    <tableColumn id="249" xr3:uid="{00000000-0010-0000-0100-0000F9000000}" name="Столбец249">
      <calculatedColumnFormula>График!JK4</calculatedColumnFormula>
    </tableColumn>
    <tableColumn id="250" xr3:uid="{00000000-0010-0000-0100-0000FA000000}" name="Столбец250">
      <calculatedColumnFormula>График!JL4</calculatedColumnFormula>
    </tableColumn>
    <tableColumn id="251" xr3:uid="{00000000-0010-0000-0100-0000FB000000}" name="Столбец251">
      <calculatedColumnFormula>График!JM4</calculatedColumnFormula>
    </tableColumn>
    <tableColumn id="252" xr3:uid="{00000000-0010-0000-0100-0000FC000000}" name="Столбец252">
      <calculatedColumnFormula>График!JN4</calculatedColumnFormula>
    </tableColumn>
    <tableColumn id="253" xr3:uid="{00000000-0010-0000-0100-0000FD000000}" name="Столбец253">
      <calculatedColumnFormula>График!JO4</calculatedColumnFormula>
    </tableColumn>
    <tableColumn id="254" xr3:uid="{00000000-0010-0000-0100-0000FE000000}" name="Столбец254">
      <calculatedColumnFormula>График!JP4</calculatedColumnFormula>
    </tableColumn>
    <tableColumn id="255" xr3:uid="{00000000-0010-0000-0100-0000FF000000}" name="Столбец255">
      <calculatedColumnFormula>График!JQ4</calculatedColumnFormula>
    </tableColumn>
    <tableColumn id="256" xr3:uid="{00000000-0010-0000-0100-000000010000}" name="Столбец256">
      <calculatedColumnFormula>График!JR4</calculatedColumnFormula>
    </tableColumn>
    <tableColumn id="257" xr3:uid="{00000000-0010-0000-0100-000001010000}" name="Столбец257">
      <calculatedColumnFormula>График!JS4</calculatedColumnFormula>
    </tableColumn>
    <tableColumn id="258" xr3:uid="{00000000-0010-0000-0100-000002010000}" name="Столбец258">
      <calculatedColumnFormula>График!JT4</calculatedColumnFormula>
    </tableColumn>
    <tableColumn id="259" xr3:uid="{00000000-0010-0000-0100-000003010000}" name="Столбец259">
      <calculatedColumnFormula>График!JU4</calculatedColumnFormula>
    </tableColumn>
    <tableColumn id="260" xr3:uid="{00000000-0010-0000-0100-000004010000}" name="Столбец260">
      <calculatedColumnFormula>График!JV4</calculatedColumnFormula>
    </tableColumn>
    <tableColumn id="261" xr3:uid="{00000000-0010-0000-0100-000005010000}" name="Столбец261">
      <calculatedColumnFormula>График!JW4</calculatedColumnFormula>
    </tableColumn>
    <tableColumn id="262" xr3:uid="{00000000-0010-0000-0100-000006010000}" name="Столбец262">
      <calculatedColumnFormula>График!JX4</calculatedColumnFormula>
    </tableColumn>
    <tableColumn id="263" xr3:uid="{00000000-0010-0000-0100-000007010000}" name="Столбец263">
      <calculatedColumnFormula>График!JY4</calculatedColumnFormula>
    </tableColumn>
    <tableColumn id="264" xr3:uid="{00000000-0010-0000-0100-000008010000}" name="Столбец264">
      <calculatedColumnFormula>График!JZ4</calculatedColumnFormula>
    </tableColumn>
    <tableColumn id="265" xr3:uid="{00000000-0010-0000-0100-000009010000}" name="Столбец265">
      <calculatedColumnFormula>График!KA4</calculatedColumnFormula>
    </tableColumn>
    <tableColumn id="266" xr3:uid="{00000000-0010-0000-0100-00000A010000}" name="Столбец266">
      <calculatedColumnFormula>График!KB4</calculatedColumnFormula>
    </tableColumn>
    <tableColumn id="267" xr3:uid="{00000000-0010-0000-0100-00000B010000}" name="Столбец267">
      <calculatedColumnFormula>График!KC4</calculatedColumnFormula>
    </tableColumn>
    <tableColumn id="268" xr3:uid="{00000000-0010-0000-0100-00000C010000}" name="Столбец268">
      <calculatedColumnFormula>График!KD4</calculatedColumnFormula>
    </tableColumn>
    <tableColumn id="269" xr3:uid="{00000000-0010-0000-0100-00000D010000}" name="Столбец269">
      <calculatedColumnFormula>График!KE4</calculatedColumnFormula>
    </tableColumn>
    <tableColumn id="270" xr3:uid="{00000000-0010-0000-0100-00000E010000}" name="Столбец270">
      <calculatedColumnFormula>График!KF4</calculatedColumnFormula>
    </tableColumn>
    <tableColumn id="271" xr3:uid="{00000000-0010-0000-0100-00000F010000}" name="Столбец271">
      <calculatedColumnFormula>График!KG4</calculatedColumnFormula>
    </tableColumn>
    <tableColumn id="272" xr3:uid="{00000000-0010-0000-0100-000010010000}" name="Столбец272">
      <calculatedColumnFormula>График!KH4</calculatedColumnFormula>
    </tableColumn>
    <tableColumn id="273" xr3:uid="{00000000-0010-0000-0100-000011010000}" name="Столбец273">
      <calculatedColumnFormula>График!KI4</calculatedColumnFormula>
    </tableColumn>
    <tableColumn id="274" xr3:uid="{00000000-0010-0000-0100-000012010000}" name="Столбец274">
      <calculatedColumnFormula>График!KJ4</calculatedColumnFormula>
    </tableColumn>
    <tableColumn id="275" xr3:uid="{00000000-0010-0000-0100-000013010000}" name="Столбец275">
      <calculatedColumnFormula>График!KK4</calculatedColumnFormula>
    </tableColumn>
    <tableColumn id="276" xr3:uid="{00000000-0010-0000-0100-000014010000}" name="Столбец276">
      <calculatedColumnFormula>График!KL4</calculatedColumnFormula>
    </tableColumn>
    <tableColumn id="277" xr3:uid="{00000000-0010-0000-0100-000015010000}" name="Столбец277">
      <calculatedColumnFormula>График!KM4</calculatedColumnFormula>
    </tableColumn>
    <tableColumn id="278" xr3:uid="{00000000-0010-0000-0100-000016010000}" name="Столбец278">
      <calculatedColumnFormula>График!KN4</calculatedColumnFormula>
    </tableColumn>
    <tableColumn id="279" xr3:uid="{00000000-0010-0000-0100-000017010000}" name="Столбец279">
      <calculatedColumnFormula>График!KO4</calculatedColumnFormula>
    </tableColumn>
    <tableColumn id="280" xr3:uid="{00000000-0010-0000-0100-000018010000}" name="Столбец280">
      <calculatedColumnFormula>График!KP4</calculatedColumnFormula>
    </tableColumn>
    <tableColumn id="281" xr3:uid="{00000000-0010-0000-0100-000019010000}" name="Столбец281">
      <calculatedColumnFormula>График!KQ4</calculatedColumnFormula>
    </tableColumn>
    <tableColumn id="282" xr3:uid="{00000000-0010-0000-0100-00001A010000}" name="Столбец282">
      <calculatedColumnFormula>График!KR4</calculatedColumnFormula>
    </tableColumn>
    <tableColumn id="283" xr3:uid="{00000000-0010-0000-0100-00001B010000}" name="Столбец283">
      <calculatedColumnFormula>График!KS4</calculatedColumnFormula>
    </tableColumn>
    <tableColumn id="284" xr3:uid="{00000000-0010-0000-0100-00001C010000}" name="Столбец284">
      <calculatedColumnFormula>График!KT4</calculatedColumnFormula>
    </tableColumn>
    <tableColumn id="285" xr3:uid="{00000000-0010-0000-0100-00001D010000}" name="Столбец285">
      <calculatedColumnFormula>График!KU4</calculatedColumnFormula>
    </tableColumn>
    <tableColumn id="286" xr3:uid="{00000000-0010-0000-0100-00001E010000}" name="Столбец286">
      <calculatedColumnFormula>График!KV4</calculatedColumnFormula>
    </tableColumn>
    <tableColumn id="287" xr3:uid="{00000000-0010-0000-0100-00001F010000}" name="Столбец287">
      <calculatedColumnFormula>График!KW4</calculatedColumnFormula>
    </tableColumn>
    <tableColumn id="288" xr3:uid="{00000000-0010-0000-0100-000020010000}" name="Столбец288">
      <calculatedColumnFormula>График!KX4</calculatedColumnFormula>
    </tableColumn>
    <tableColumn id="289" xr3:uid="{00000000-0010-0000-0100-000021010000}" name="Столбец289">
      <calculatedColumnFormula>График!KY4</calculatedColumnFormula>
    </tableColumn>
    <tableColumn id="290" xr3:uid="{00000000-0010-0000-0100-000022010000}" name="Столбец290">
      <calculatedColumnFormula>График!KZ4</calculatedColumnFormula>
    </tableColumn>
    <tableColumn id="291" xr3:uid="{00000000-0010-0000-0100-000023010000}" name="Столбец291">
      <calculatedColumnFormula>График!LA4</calculatedColumnFormula>
    </tableColumn>
    <tableColumn id="292" xr3:uid="{00000000-0010-0000-0100-000024010000}" name="Столбец292">
      <calculatedColumnFormula>График!LB4</calculatedColumnFormula>
    </tableColumn>
    <tableColumn id="293" xr3:uid="{00000000-0010-0000-0100-000025010000}" name="Столбец293">
      <calculatedColumnFormula>График!LC4</calculatedColumnFormula>
    </tableColumn>
    <tableColumn id="294" xr3:uid="{00000000-0010-0000-0100-000026010000}" name="Столбец294">
      <calculatedColumnFormula>График!LD4</calculatedColumnFormula>
    </tableColumn>
    <tableColumn id="295" xr3:uid="{00000000-0010-0000-0100-000027010000}" name="Столбец295">
      <calculatedColumnFormula>График!LE4</calculatedColumnFormula>
    </tableColumn>
    <tableColumn id="296" xr3:uid="{00000000-0010-0000-0100-000028010000}" name="Столбец296">
      <calculatedColumnFormula>График!LF4</calculatedColumnFormula>
    </tableColumn>
    <tableColumn id="297" xr3:uid="{00000000-0010-0000-0100-000029010000}" name="Столбец297">
      <calculatedColumnFormula>График!LG4</calculatedColumnFormula>
    </tableColumn>
    <tableColumn id="298" xr3:uid="{00000000-0010-0000-0100-00002A010000}" name="Столбец298">
      <calculatedColumnFormula>График!LH4</calculatedColumnFormula>
    </tableColumn>
    <tableColumn id="299" xr3:uid="{00000000-0010-0000-0100-00002B010000}" name="Столбец299">
      <calculatedColumnFormula>График!LI4</calculatedColumnFormula>
    </tableColumn>
    <tableColumn id="300" xr3:uid="{00000000-0010-0000-0100-00002C010000}" name="Столбец300">
      <calculatedColumnFormula>График!LJ4</calculatedColumnFormula>
    </tableColumn>
    <tableColumn id="301" xr3:uid="{00000000-0010-0000-0100-00002D010000}" name="Столбец301">
      <calculatedColumnFormula>График!LK4</calculatedColumnFormula>
    </tableColumn>
    <tableColumn id="302" xr3:uid="{00000000-0010-0000-0100-00002E010000}" name="Столбец302">
      <calculatedColumnFormula>График!LL4</calculatedColumnFormula>
    </tableColumn>
    <tableColumn id="303" xr3:uid="{00000000-0010-0000-0100-00002F010000}" name="Столбец303">
      <calculatedColumnFormula>График!LM4</calculatedColumnFormula>
    </tableColumn>
    <tableColumn id="304" xr3:uid="{00000000-0010-0000-0100-000030010000}" name="Столбец304">
      <calculatedColumnFormula>График!LN4</calculatedColumnFormula>
    </tableColumn>
    <tableColumn id="305" xr3:uid="{00000000-0010-0000-0100-000031010000}" name="Столбец305">
      <calculatedColumnFormula>График!LO4</calculatedColumnFormula>
    </tableColumn>
    <tableColumn id="306" xr3:uid="{00000000-0010-0000-0100-000032010000}" name="Столбец306">
      <calculatedColumnFormula>График!LP4</calculatedColumnFormula>
    </tableColumn>
    <tableColumn id="307" xr3:uid="{00000000-0010-0000-0100-000033010000}" name="Столбец307">
      <calculatedColumnFormula>График!LQ4</calculatedColumnFormula>
    </tableColumn>
    <tableColumn id="308" xr3:uid="{00000000-0010-0000-0100-000034010000}" name="Столбец308">
      <calculatedColumnFormula>График!LR4</calculatedColumnFormula>
    </tableColumn>
    <tableColumn id="309" xr3:uid="{00000000-0010-0000-0100-000035010000}" name="Столбец309">
      <calculatedColumnFormula>График!LS4</calculatedColumnFormula>
    </tableColumn>
    <tableColumn id="310" xr3:uid="{00000000-0010-0000-0100-000036010000}" name="Столбец310">
      <calculatedColumnFormula>График!LT4</calculatedColumnFormula>
    </tableColumn>
    <tableColumn id="311" xr3:uid="{00000000-0010-0000-0100-000037010000}" name="Столбец311">
      <calculatedColumnFormula>График!LU4</calculatedColumnFormula>
    </tableColumn>
    <tableColumn id="312" xr3:uid="{00000000-0010-0000-0100-000038010000}" name="Столбец312">
      <calculatedColumnFormula>График!LV4</calculatedColumnFormula>
    </tableColumn>
    <tableColumn id="313" xr3:uid="{00000000-0010-0000-0100-000039010000}" name="Столбец313">
      <calculatedColumnFormula>График!LW4</calculatedColumnFormula>
    </tableColumn>
    <tableColumn id="314" xr3:uid="{00000000-0010-0000-0100-00003A010000}" name="Столбец314">
      <calculatedColumnFormula>График!LX4</calculatedColumnFormula>
    </tableColumn>
    <tableColumn id="315" xr3:uid="{00000000-0010-0000-0100-00003B010000}" name="Столбец315">
      <calculatedColumnFormula>График!LY4</calculatedColumnFormula>
    </tableColumn>
    <tableColumn id="316" xr3:uid="{00000000-0010-0000-0100-00003C010000}" name="Столбец316">
      <calculatedColumnFormula>График!LZ4</calculatedColumnFormula>
    </tableColumn>
    <tableColumn id="317" xr3:uid="{00000000-0010-0000-0100-00003D010000}" name="Столбец317">
      <calculatedColumnFormula>График!MA4</calculatedColumnFormula>
    </tableColumn>
    <tableColumn id="318" xr3:uid="{00000000-0010-0000-0100-00003E010000}" name="Столбец318">
      <calculatedColumnFormula>График!MB4</calculatedColumnFormula>
    </tableColumn>
    <tableColumn id="319" xr3:uid="{00000000-0010-0000-0100-00003F010000}" name="Столбец319">
      <calculatedColumnFormula>График!MC4</calculatedColumnFormula>
    </tableColumn>
    <tableColumn id="320" xr3:uid="{00000000-0010-0000-0100-000040010000}" name="Столбец320">
      <calculatedColumnFormula>График!MD4</calculatedColumnFormula>
    </tableColumn>
    <tableColumn id="321" xr3:uid="{00000000-0010-0000-0100-000041010000}" name="Столбец321">
      <calculatedColumnFormula>График!ME4</calculatedColumnFormula>
    </tableColumn>
    <tableColumn id="322" xr3:uid="{00000000-0010-0000-0100-000042010000}" name="Столбец322">
      <calculatedColumnFormula>График!MF4</calculatedColumnFormula>
    </tableColumn>
    <tableColumn id="323" xr3:uid="{00000000-0010-0000-0100-000043010000}" name="Столбец323">
      <calculatedColumnFormula>График!MG4</calculatedColumnFormula>
    </tableColumn>
    <tableColumn id="324" xr3:uid="{00000000-0010-0000-0100-000044010000}" name="Столбец324">
      <calculatedColumnFormula>График!MH4</calculatedColumnFormula>
    </tableColumn>
    <tableColumn id="325" xr3:uid="{00000000-0010-0000-0100-000045010000}" name="Столбец325">
      <calculatedColumnFormula>График!MI4</calculatedColumnFormula>
    </tableColumn>
    <tableColumn id="326" xr3:uid="{00000000-0010-0000-0100-000046010000}" name="Столбец326">
      <calculatedColumnFormula>График!MJ4</calculatedColumnFormula>
    </tableColumn>
    <tableColumn id="327" xr3:uid="{00000000-0010-0000-0100-000047010000}" name="Столбец327">
      <calculatedColumnFormula>График!MK4</calculatedColumnFormula>
    </tableColumn>
    <tableColumn id="328" xr3:uid="{00000000-0010-0000-0100-000048010000}" name="Столбец328">
      <calculatedColumnFormula>График!ML4</calculatedColumnFormula>
    </tableColumn>
    <tableColumn id="329" xr3:uid="{00000000-0010-0000-0100-000049010000}" name="Столбец329">
      <calculatedColumnFormula>График!MM4</calculatedColumnFormula>
    </tableColumn>
    <tableColumn id="330" xr3:uid="{00000000-0010-0000-0100-00004A010000}" name="Столбец330">
      <calculatedColumnFormula>График!MN4</calculatedColumnFormula>
    </tableColumn>
    <tableColumn id="331" xr3:uid="{00000000-0010-0000-0100-00004B010000}" name="Столбец331">
      <calculatedColumnFormula>График!MO4</calculatedColumnFormula>
    </tableColumn>
    <tableColumn id="332" xr3:uid="{00000000-0010-0000-0100-00004C010000}" name="Столбец332">
      <calculatedColumnFormula>График!MP4</calculatedColumnFormula>
    </tableColumn>
    <tableColumn id="333" xr3:uid="{00000000-0010-0000-0100-00004D010000}" name="Столбец333">
      <calculatedColumnFormula>График!MQ4</calculatedColumnFormula>
    </tableColumn>
    <tableColumn id="334" xr3:uid="{00000000-0010-0000-0100-00004E010000}" name="Столбец334">
      <calculatedColumnFormula>График!MR4</calculatedColumnFormula>
    </tableColumn>
    <tableColumn id="335" xr3:uid="{00000000-0010-0000-0100-00004F010000}" name="Столбец335">
      <calculatedColumnFormula>График!MS4</calculatedColumnFormula>
    </tableColumn>
    <tableColumn id="336" xr3:uid="{00000000-0010-0000-0100-000050010000}" name="Столбец336">
      <calculatedColumnFormula>График!MT4</calculatedColumnFormula>
    </tableColumn>
    <tableColumn id="337" xr3:uid="{00000000-0010-0000-0100-000051010000}" name="Столбец337">
      <calculatedColumnFormula>График!MU4</calculatedColumnFormula>
    </tableColumn>
    <tableColumn id="338" xr3:uid="{00000000-0010-0000-0100-000052010000}" name="Столбец338">
      <calculatedColumnFormula>График!MV4</calculatedColumnFormula>
    </tableColumn>
    <tableColumn id="339" xr3:uid="{00000000-0010-0000-0100-000053010000}" name="Столбец339">
      <calculatedColumnFormula>График!MW4</calculatedColumnFormula>
    </tableColumn>
    <tableColumn id="340" xr3:uid="{00000000-0010-0000-0100-000054010000}" name="Столбец340">
      <calculatedColumnFormula>График!MX4</calculatedColumnFormula>
    </tableColumn>
    <tableColumn id="341" xr3:uid="{00000000-0010-0000-0100-000055010000}" name="Столбец341">
      <calculatedColumnFormula>График!MY4</calculatedColumnFormula>
    </tableColumn>
    <tableColumn id="342" xr3:uid="{00000000-0010-0000-0100-000056010000}" name="Столбец342">
      <calculatedColumnFormula>График!MZ4</calculatedColumnFormula>
    </tableColumn>
    <tableColumn id="343" xr3:uid="{00000000-0010-0000-0100-000057010000}" name="Столбец343">
      <calculatedColumnFormula>График!NA4</calculatedColumnFormula>
    </tableColumn>
    <tableColumn id="344" xr3:uid="{00000000-0010-0000-0100-000058010000}" name="Столбец344">
      <calculatedColumnFormula>График!NB4</calculatedColumnFormula>
    </tableColumn>
    <tableColumn id="345" xr3:uid="{00000000-0010-0000-0100-000059010000}" name="Столбец345">
      <calculatedColumnFormula>График!NC4</calculatedColumnFormula>
    </tableColumn>
    <tableColumn id="346" xr3:uid="{00000000-0010-0000-0100-00005A010000}" name="Столбец346">
      <calculatedColumnFormula>График!ND4</calculatedColumnFormula>
    </tableColumn>
    <tableColumn id="347" xr3:uid="{00000000-0010-0000-0100-00005B010000}" name="Столбец347">
      <calculatedColumnFormula>График!NE4</calculatedColumnFormula>
    </tableColumn>
    <tableColumn id="348" xr3:uid="{00000000-0010-0000-0100-00005C010000}" name="Столбец348">
      <calculatedColumnFormula>График!NF4</calculatedColumnFormula>
    </tableColumn>
    <tableColumn id="349" xr3:uid="{00000000-0010-0000-0100-00005D010000}" name="Столбец349">
      <calculatedColumnFormula>График!NG4</calculatedColumnFormula>
    </tableColumn>
    <tableColumn id="350" xr3:uid="{00000000-0010-0000-0100-00005E010000}" name="Столбец350">
      <calculatedColumnFormula>График!NH4</calculatedColumnFormula>
    </tableColumn>
    <tableColumn id="351" xr3:uid="{00000000-0010-0000-0100-00005F010000}" name="Столбец351">
      <calculatedColumnFormula>График!NI4</calculatedColumnFormula>
    </tableColumn>
    <tableColumn id="352" xr3:uid="{00000000-0010-0000-0100-000060010000}" name="Столбец352">
      <calculatedColumnFormula>График!NJ4</calculatedColumnFormula>
    </tableColumn>
    <tableColumn id="353" xr3:uid="{00000000-0010-0000-0100-000061010000}" name="Столбец353">
      <calculatedColumnFormula>График!NK4</calculatedColumnFormula>
    </tableColumn>
    <tableColumn id="354" xr3:uid="{00000000-0010-0000-0100-000062010000}" name="Столбец354">
      <calculatedColumnFormula>График!NL4</calculatedColumnFormula>
    </tableColumn>
    <tableColumn id="355" xr3:uid="{00000000-0010-0000-0100-000063010000}" name="Столбец355">
      <calculatedColumnFormula>График!NM4</calculatedColumnFormula>
    </tableColumn>
    <tableColumn id="356" xr3:uid="{00000000-0010-0000-0100-000064010000}" name="Столбец356">
      <calculatedColumnFormula>График!NN4</calculatedColumnFormula>
    </tableColumn>
    <tableColumn id="357" xr3:uid="{00000000-0010-0000-0100-000065010000}" name="Столбец357">
      <calculatedColumnFormula>График!NO4</calculatedColumnFormula>
    </tableColumn>
    <tableColumn id="358" xr3:uid="{00000000-0010-0000-0100-000066010000}" name="Столбец358">
      <calculatedColumnFormula>График!NP4</calculatedColumnFormula>
    </tableColumn>
    <tableColumn id="359" xr3:uid="{00000000-0010-0000-0100-000067010000}" name="Столбец359">
      <calculatedColumnFormula>График!NQ4</calculatedColumnFormula>
    </tableColumn>
    <tableColumn id="360" xr3:uid="{00000000-0010-0000-0100-000068010000}" name="Столбец360">
      <calculatedColumnFormula>График!NR4</calculatedColumnFormula>
    </tableColumn>
    <tableColumn id="361" xr3:uid="{00000000-0010-0000-0100-000069010000}" name="Столбец361">
      <calculatedColumnFormula>График!NS4</calculatedColumnFormula>
    </tableColumn>
    <tableColumn id="362" xr3:uid="{00000000-0010-0000-0100-00006A010000}" name="Столбец362">
      <calculatedColumnFormula>График!NT4</calculatedColumnFormula>
    </tableColumn>
    <tableColumn id="363" xr3:uid="{00000000-0010-0000-0100-00006B010000}" name="Столбец363">
      <calculatedColumnFormula>График!NU4</calculatedColumnFormula>
    </tableColumn>
    <tableColumn id="364" xr3:uid="{00000000-0010-0000-0100-00006C010000}" name="Столбец364">
      <calculatedColumnFormula>График!NV4</calculatedColumnFormula>
    </tableColumn>
    <tableColumn id="365" xr3:uid="{00000000-0010-0000-0100-00006D010000}" name="Столбец365">
      <calculatedColumnFormula>График!NW4</calculatedColumnFormula>
    </tableColumn>
    <tableColumn id="366" xr3:uid="{00000000-0010-0000-0100-00006E010000}" name="Столбец366">
      <calculatedColumnFormula>График!NX4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E310"/>
  <sheetViews>
    <sheetView tabSelected="1" zoomScaleNormal="100" workbookViewId="0">
      <pane xSplit="10" ySplit="7" topLeftCell="K8" activePane="bottomRight" state="frozen"/>
      <selection pane="topRight" activeCell="K1" sqref="K1"/>
      <selection pane="bottomLeft" activeCell="A7" sqref="A7"/>
      <selection pane="bottomRight" activeCell="J12" sqref="J12"/>
    </sheetView>
  </sheetViews>
  <sheetFormatPr defaultRowHeight="15" x14ac:dyDescent="0.25"/>
  <cols>
    <col min="1" max="1" width="5.42578125" customWidth="1"/>
    <col min="2" max="2" width="11.28515625" customWidth="1"/>
    <col min="3" max="3" width="17.28515625" customWidth="1"/>
    <col min="4" max="4" width="13.42578125" customWidth="1"/>
    <col min="5" max="5" width="11.42578125" customWidth="1"/>
    <col min="7" max="7" width="12.42578125" customWidth="1"/>
    <col min="8" max="8" width="9.140625" customWidth="1"/>
    <col min="9" max="9" width="12.42578125" customWidth="1"/>
    <col min="10" max="10" width="10.140625" bestFit="1" customWidth="1"/>
    <col min="11" max="11" width="13.5703125" customWidth="1"/>
    <col min="12" max="12" width="6.42578125" customWidth="1"/>
    <col min="13" max="13" width="6.7109375" customWidth="1"/>
    <col min="14" max="14" width="6.85546875" customWidth="1"/>
    <col min="15" max="15" width="6.42578125" customWidth="1"/>
    <col min="16" max="16" width="6.85546875" customWidth="1"/>
    <col min="17" max="18" width="7" customWidth="1"/>
    <col min="19" max="22" width="6.42578125" customWidth="1"/>
    <col min="23" max="23" width="6.5703125" customWidth="1"/>
    <col min="24" max="67" width="2.28515625" style="1" customWidth="1"/>
    <col min="68" max="388" width="2.28515625" customWidth="1"/>
    <col min="389" max="389" width="9.140625" hidden="1" customWidth="1"/>
    <col min="390" max="392" width="9.85546875" hidden="1" customWidth="1"/>
    <col min="393" max="393" width="13.85546875" hidden="1" customWidth="1"/>
    <col min="394" max="394" width="13.140625" hidden="1" customWidth="1"/>
    <col min="395" max="395" width="13.85546875" hidden="1" customWidth="1"/>
  </cols>
  <sheetData>
    <row r="1" spans="1:395" x14ac:dyDescent="0.25">
      <c r="X1" s="44">
        <v>44562</v>
      </c>
      <c r="Y1" s="44">
        <v>44563</v>
      </c>
      <c r="Z1" s="44">
        <v>44564</v>
      </c>
      <c r="AA1" s="44">
        <v>44565</v>
      </c>
      <c r="AB1" s="44">
        <v>44566</v>
      </c>
      <c r="AC1" s="44">
        <v>44567</v>
      </c>
      <c r="AD1" s="44">
        <v>44568</v>
      </c>
      <c r="AE1" s="44">
        <v>44569</v>
      </c>
      <c r="AF1" s="44">
        <v>44570</v>
      </c>
      <c r="AG1" s="44">
        <v>44571</v>
      </c>
      <c r="AH1" s="44">
        <v>44572</v>
      </c>
      <c r="AI1" s="44">
        <v>44573</v>
      </c>
      <c r="AJ1" s="44">
        <v>44574</v>
      </c>
      <c r="AK1" s="44">
        <v>44575</v>
      </c>
      <c r="AL1" s="44">
        <v>44576</v>
      </c>
      <c r="AM1" s="44">
        <v>44577</v>
      </c>
      <c r="AN1" s="44">
        <v>44578</v>
      </c>
      <c r="AO1" s="44">
        <v>44579</v>
      </c>
      <c r="AP1" s="44">
        <v>44580</v>
      </c>
      <c r="AQ1" s="44">
        <v>44581</v>
      </c>
      <c r="AR1" s="44">
        <v>44582</v>
      </c>
      <c r="AS1" s="44">
        <v>44583</v>
      </c>
      <c r="AT1" s="44">
        <v>44584</v>
      </c>
      <c r="AU1" s="44">
        <v>44585</v>
      </c>
      <c r="AV1" s="44">
        <v>44586</v>
      </c>
      <c r="AW1" s="44">
        <v>44587</v>
      </c>
      <c r="AX1" s="44">
        <v>44588</v>
      </c>
      <c r="AY1" s="44">
        <v>44589</v>
      </c>
      <c r="AZ1" s="44">
        <v>44590</v>
      </c>
      <c r="BA1" s="44">
        <v>44591</v>
      </c>
      <c r="BB1" s="44">
        <v>44592</v>
      </c>
      <c r="BC1" s="44">
        <v>44593</v>
      </c>
      <c r="BD1" s="44">
        <v>44594</v>
      </c>
      <c r="BE1" s="44">
        <v>44595</v>
      </c>
      <c r="BF1" s="44">
        <v>44596</v>
      </c>
      <c r="BG1" s="44">
        <v>44597</v>
      </c>
      <c r="BH1" s="44">
        <v>44598</v>
      </c>
      <c r="BI1" s="44">
        <v>44599</v>
      </c>
      <c r="BJ1" s="44">
        <v>44600</v>
      </c>
      <c r="BK1" s="44">
        <v>44601</v>
      </c>
      <c r="BL1" s="44">
        <v>44602</v>
      </c>
      <c r="BM1" s="44">
        <v>44603</v>
      </c>
      <c r="BN1" s="44">
        <v>44604</v>
      </c>
      <c r="BO1" s="44">
        <v>44605</v>
      </c>
      <c r="BP1" s="44">
        <v>44606</v>
      </c>
      <c r="BQ1" s="44">
        <v>44607</v>
      </c>
      <c r="BR1" s="44">
        <v>44608</v>
      </c>
      <c r="BS1" s="44">
        <v>44609</v>
      </c>
      <c r="BT1" s="44">
        <v>44610</v>
      </c>
      <c r="BU1" s="44">
        <v>44611</v>
      </c>
      <c r="BV1" s="44">
        <v>44612</v>
      </c>
      <c r="BW1" s="44">
        <v>44613</v>
      </c>
      <c r="BX1" s="44">
        <v>44614</v>
      </c>
      <c r="BY1" s="44">
        <v>44615</v>
      </c>
      <c r="BZ1" s="44">
        <v>44616</v>
      </c>
      <c r="CA1" s="44">
        <v>44617</v>
      </c>
      <c r="CB1" s="44">
        <v>44618</v>
      </c>
      <c r="CC1" s="44">
        <v>44619</v>
      </c>
      <c r="CD1" s="44">
        <v>44620</v>
      </c>
      <c r="CE1" s="44">
        <v>44621</v>
      </c>
      <c r="CF1" s="44">
        <v>44622</v>
      </c>
      <c r="CG1" s="44">
        <v>44623</v>
      </c>
      <c r="CH1" s="44">
        <v>44624</v>
      </c>
      <c r="CI1" s="44">
        <v>44625</v>
      </c>
      <c r="CJ1" s="44">
        <v>44626</v>
      </c>
      <c r="CK1" s="44">
        <v>44627</v>
      </c>
      <c r="CL1" s="44">
        <v>44628</v>
      </c>
      <c r="CM1" s="44">
        <v>44629</v>
      </c>
      <c r="CN1" s="44">
        <v>44630</v>
      </c>
      <c r="CO1" s="44">
        <v>44631</v>
      </c>
      <c r="CP1" s="44">
        <v>44632</v>
      </c>
      <c r="CQ1" s="44">
        <v>44633</v>
      </c>
      <c r="CR1" s="44">
        <v>44634</v>
      </c>
      <c r="CS1" s="44">
        <v>44635</v>
      </c>
      <c r="CT1" s="44">
        <v>44636</v>
      </c>
      <c r="CU1" s="44">
        <v>44637</v>
      </c>
      <c r="CV1" s="44">
        <v>44638</v>
      </c>
      <c r="CW1" s="44">
        <v>44639</v>
      </c>
      <c r="CX1" s="44">
        <v>44640</v>
      </c>
      <c r="CY1" s="44">
        <v>44641</v>
      </c>
      <c r="CZ1" s="44">
        <v>44642</v>
      </c>
      <c r="DA1" s="44">
        <v>44643</v>
      </c>
      <c r="DB1" s="44">
        <v>44644</v>
      </c>
      <c r="DC1" s="44">
        <v>44645</v>
      </c>
      <c r="DD1" s="44">
        <v>44646</v>
      </c>
      <c r="DE1" s="44">
        <v>44647</v>
      </c>
      <c r="DF1" s="44">
        <v>44648</v>
      </c>
      <c r="DG1" s="44">
        <v>44649</v>
      </c>
      <c r="DH1" s="44">
        <v>44650</v>
      </c>
      <c r="DI1" s="44">
        <v>44651</v>
      </c>
      <c r="DJ1" s="44">
        <v>44652</v>
      </c>
      <c r="DK1" s="44">
        <v>44653</v>
      </c>
      <c r="DL1" s="44">
        <v>44654</v>
      </c>
      <c r="DM1" s="44">
        <v>44655</v>
      </c>
      <c r="DN1" s="44">
        <v>44656</v>
      </c>
      <c r="DO1" s="44">
        <v>44657</v>
      </c>
      <c r="DP1" s="44">
        <v>44658</v>
      </c>
      <c r="DQ1" s="44">
        <v>44659</v>
      </c>
      <c r="DR1" s="44">
        <v>44660</v>
      </c>
      <c r="DS1" s="44">
        <v>44661</v>
      </c>
      <c r="DT1" s="44">
        <v>44662</v>
      </c>
      <c r="DU1" s="44">
        <v>44663</v>
      </c>
      <c r="DV1" s="44">
        <v>44664</v>
      </c>
      <c r="DW1" s="44">
        <v>44665</v>
      </c>
      <c r="DX1" s="44">
        <v>44666</v>
      </c>
      <c r="DY1" s="44">
        <v>44667</v>
      </c>
      <c r="DZ1" s="44">
        <v>44668</v>
      </c>
      <c r="EA1" s="44">
        <v>44669</v>
      </c>
      <c r="EB1" s="44">
        <v>44670</v>
      </c>
      <c r="EC1" s="44">
        <v>44671</v>
      </c>
      <c r="ED1" s="44">
        <v>44672</v>
      </c>
      <c r="EE1" s="44">
        <v>44673</v>
      </c>
      <c r="EF1" s="44">
        <v>44674</v>
      </c>
      <c r="EG1" s="44">
        <v>44675</v>
      </c>
      <c r="EH1" s="44">
        <v>44676</v>
      </c>
      <c r="EI1" s="44">
        <v>44677</v>
      </c>
      <c r="EJ1" s="44">
        <v>44678</v>
      </c>
      <c r="EK1" s="44">
        <v>44679</v>
      </c>
      <c r="EL1" s="44">
        <v>44680</v>
      </c>
      <c r="EM1" s="44">
        <v>44681</v>
      </c>
      <c r="EN1" s="44">
        <v>44682</v>
      </c>
      <c r="EO1" s="44">
        <v>44683</v>
      </c>
      <c r="EP1" s="44">
        <v>44684</v>
      </c>
      <c r="EQ1" s="44">
        <v>44685</v>
      </c>
      <c r="ER1" s="44">
        <v>44686</v>
      </c>
      <c r="ES1" s="44">
        <v>44687</v>
      </c>
      <c r="ET1" s="44">
        <v>44688</v>
      </c>
      <c r="EU1" s="44">
        <v>44689</v>
      </c>
      <c r="EV1" s="44">
        <v>44690</v>
      </c>
      <c r="EW1" s="44">
        <v>44691</v>
      </c>
      <c r="EX1" s="44">
        <v>44692</v>
      </c>
      <c r="EY1" s="44">
        <v>44693</v>
      </c>
      <c r="EZ1" s="44">
        <v>44694</v>
      </c>
      <c r="FA1" s="44">
        <v>44695</v>
      </c>
      <c r="FB1" s="44">
        <v>44696</v>
      </c>
      <c r="FC1" s="44">
        <v>44697</v>
      </c>
      <c r="FD1" s="44">
        <v>44698</v>
      </c>
      <c r="FE1" s="44">
        <v>44699</v>
      </c>
      <c r="FF1" s="44">
        <v>44700</v>
      </c>
      <c r="FG1" s="44">
        <v>44701</v>
      </c>
      <c r="FH1" s="44">
        <v>44702</v>
      </c>
      <c r="FI1" s="44">
        <v>44703</v>
      </c>
      <c r="FJ1" s="44">
        <v>44704</v>
      </c>
      <c r="FK1" s="44">
        <v>44705</v>
      </c>
      <c r="FL1" s="44">
        <v>44706</v>
      </c>
      <c r="FM1" s="44">
        <v>44707</v>
      </c>
      <c r="FN1" s="44">
        <v>44708</v>
      </c>
      <c r="FO1" s="44">
        <v>44709</v>
      </c>
      <c r="FP1" s="44">
        <v>44710</v>
      </c>
      <c r="FQ1" s="44">
        <v>44711</v>
      </c>
      <c r="FR1" s="44">
        <v>44712</v>
      </c>
      <c r="FS1" s="44">
        <v>44713</v>
      </c>
      <c r="FT1" s="44">
        <v>44714</v>
      </c>
      <c r="FU1" s="44">
        <v>44715</v>
      </c>
      <c r="FV1" s="44">
        <v>44716</v>
      </c>
      <c r="FW1" s="44">
        <v>44717</v>
      </c>
      <c r="FX1" s="44">
        <v>44718</v>
      </c>
      <c r="FY1" s="44">
        <v>44719</v>
      </c>
      <c r="FZ1" s="44">
        <v>44720</v>
      </c>
      <c r="GA1" s="44">
        <v>44721</v>
      </c>
      <c r="GB1" s="44">
        <v>44722</v>
      </c>
      <c r="GC1" s="44">
        <v>44723</v>
      </c>
      <c r="GD1" s="44">
        <v>44724</v>
      </c>
      <c r="GE1" s="44">
        <v>44725</v>
      </c>
      <c r="GF1" s="44">
        <v>44726</v>
      </c>
      <c r="GG1" s="44">
        <v>44727</v>
      </c>
      <c r="GH1" s="44">
        <v>44728</v>
      </c>
      <c r="GI1" s="44">
        <v>44729</v>
      </c>
      <c r="GJ1" s="44">
        <v>44730</v>
      </c>
      <c r="GK1" s="44">
        <v>44731</v>
      </c>
      <c r="GL1" s="44">
        <v>44732</v>
      </c>
      <c r="GM1" s="44">
        <v>44733</v>
      </c>
      <c r="GN1" s="44">
        <v>44734</v>
      </c>
      <c r="GO1" s="44">
        <v>44735</v>
      </c>
      <c r="GP1" s="44">
        <v>44736</v>
      </c>
      <c r="GQ1" s="44">
        <v>44737</v>
      </c>
      <c r="GR1" s="44">
        <v>44738</v>
      </c>
      <c r="GS1" s="44">
        <v>44739</v>
      </c>
      <c r="GT1" s="44">
        <v>44740</v>
      </c>
      <c r="GU1" s="44">
        <v>44741</v>
      </c>
      <c r="GV1" s="44">
        <v>44742</v>
      </c>
      <c r="GW1" s="44">
        <v>44743</v>
      </c>
      <c r="GX1" s="44">
        <v>44744</v>
      </c>
      <c r="GY1" s="44">
        <v>44745</v>
      </c>
      <c r="GZ1" s="44">
        <v>44746</v>
      </c>
      <c r="HA1" s="44">
        <v>44747</v>
      </c>
      <c r="HB1" s="44">
        <v>44748</v>
      </c>
      <c r="HC1" s="44">
        <v>44749</v>
      </c>
      <c r="HD1" s="44">
        <v>44750</v>
      </c>
      <c r="HE1" s="44">
        <v>44751</v>
      </c>
      <c r="HF1" s="44">
        <v>44752</v>
      </c>
      <c r="HG1" s="44">
        <v>44753</v>
      </c>
      <c r="HH1" s="44">
        <v>44754</v>
      </c>
      <c r="HI1" s="44">
        <v>44755</v>
      </c>
      <c r="HJ1" s="44">
        <v>44756</v>
      </c>
      <c r="HK1" s="44">
        <v>44757</v>
      </c>
      <c r="HL1" s="44">
        <v>44758</v>
      </c>
      <c r="HM1" s="44">
        <v>44759</v>
      </c>
      <c r="HN1" s="44">
        <v>44760</v>
      </c>
      <c r="HO1" s="44">
        <v>44761</v>
      </c>
      <c r="HP1" s="44">
        <v>44762</v>
      </c>
      <c r="HQ1" s="44">
        <v>44763</v>
      </c>
      <c r="HR1" s="44">
        <v>44764</v>
      </c>
      <c r="HS1" s="44">
        <v>44765</v>
      </c>
      <c r="HT1" s="44">
        <v>44766</v>
      </c>
      <c r="HU1" s="44">
        <v>44767</v>
      </c>
      <c r="HV1" s="44">
        <v>44768</v>
      </c>
      <c r="HW1" s="44">
        <v>44769</v>
      </c>
      <c r="HX1" s="44">
        <v>44770</v>
      </c>
      <c r="HY1" s="44">
        <v>44771</v>
      </c>
      <c r="HZ1" s="44">
        <v>44772</v>
      </c>
      <c r="IA1" s="44">
        <v>44773</v>
      </c>
      <c r="IB1" s="44">
        <v>44774</v>
      </c>
      <c r="IC1" s="44">
        <v>44775</v>
      </c>
      <c r="ID1" s="44">
        <v>44776</v>
      </c>
      <c r="IE1" s="44">
        <v>44777</v>
      </c>
      <c r="IF1" s="44">
        <v>44778</v>
      </c>
      <c r="IG1" s="44">
        <v>44779</v>
      </c>
      <c r="IH1" s="44">
        <v>44780</v>
      </c>
      <c r="II1" s="44">
        <v>44781</v>
      </c>
      <c r="IJ1" s="44">
        <v>44782</v>
      </c>
      <c r="IK1" s="44">
        <v>44783</v>
      </c>
      <c r="IL1" s="44">
        <v>44784</v>
      </c>
      <c r="IM1" s="44">
        <v>44785</v>
      </c>
      <c r="IN1" s="44">
        <v>44786</v>
      </c>
      <c r="IO1" s="44">
        <v>44787</v>
      </c>
      <c r="IP1" s="44">
        <v>44788</v>
      </c>
      <c r="IQ1" s="44">
        <v>44789</v>
      </c>
      <c r="IR1" s="44">
        <v>44790</v>
      </c>
      <c r="IS1" s="44">
        <v>44791</v>
      </c>
      <c r="IT1" s="44">
        <v>44792</v>
      </c>
      <c r="IU1" s="44">
        <v>44793</v>
      </c>
      <c r="IV1" s="44">
        <v>44794</v>
      </c>
      <c r="IW1" s="44">
        <v>44795</v>
      </c>
      <c r="IX1" s="44">
        <v>44796</v>
      </c>
      <c r="IY1" s="44">
        <v>44797</v>
      </c>
      <c r="IZ1" s="44">
        <v>44798</v>
      </c>
      <c r="JA1" s="44">
        <v>44799</v>
      </c>
      <c r="JB1" s="44">
        <v>44800</v>
      </c>
      <c r="JC1" s="44">
        <v>44801</v>
      </c>
      <c r="JD1" s="44">
        <v>44802</v>
      </c>
      <c r="JE1" s="44">
        <v>44803</v>
      </c>
      <c r="JF1" s="44">
        <v>44804</v>
      </c>
      <c r="JG1" s="44">
        <v>44805</v>
      </c>
      <c r="JH1" s="44">
        <v>44806</v>
      </c>
      <c r="JI1" s="44">
        <v>44807</v>
      </c>
      <c r="JJ1" s="44">
        <v>44808</v>
      </c>
      <c r="JK1" s="44">
        <v>44809</v>
      </c>
      <c r="JL1" s="44">
        <v>44810</v>
      </c>
      <c r="JM1" s="44">
        <v>44811</v>
      </c>
      <c r="JN1" s="44">
        <v>44812</v>
      </c>
      <c r="JO1" s="44">
        <v>44813</v>
      </c>
      <c r="JP1" s="44">
        <v>44814</v>
      </c>
      <c r="JQ1" s="44">
        <v>44815</v>
      </c>
      <c r="JR1" s="44">
        <v>44816</v>
      </c>
      <c r="JS1" s="44">
        <v>44817</v>
      </c>
      <c r="JT1" s="44">
        <v>44818</v>
      </c>
      <c r="JU1" s="44">
        <v>44819</v>
      </c>
      <c r="JV1" s="44">
        <v>44820</v>
      </c>
      <c r="JW1" s="44">
        <v>44821</v>
      </c>
      <c r="JX1" s="44">
        <v>44822</v>
      </c>
      <c r="JY1" s="44">
        <v>44823</v>
      </c>
      <c r="JZ1" s="44">
        <v>44824</v>
      </c>
      <c r="KA1" s="44">
        <v>44825</v>
      </c>
      <c r="KB1" s="44">
        <v>44826</v>
      </c>
      <c r="KC1" s="44">
        <v>44827</v>
      </c>
      <c r="KD1" s="44">
        <v>44828</v>
      </c>
      <c r="KE1" s="44">
        <v>44829</v>
      </c>
      <c r="KF1" s="44">
        <v>44830</v>
      </c>
      <c r="KG1" s="44">
        <v>44831</v>
      </c>
      <c r="KH1" s="44">
        <v>44832</v>
      </c>
      <c r="KI1" s="44">
        <v>44833</v>
      </c>
      <c r="KJ1" s="44">
        <v>44834</v>
      </c>
      <c r="KK1" s="44">
        <v>44835</v>
      </c>
      <c r="KL1" s="44">
        <v>44836</v>
      </c>
      <c r="KM1" s="44">
        <v>44837</v>
      </c>
      <c r="KN1" s="44">
        <v>44838</v>
      </c>
      <c r="KO1" s="44">
        <v>44839</v>
      </c>
      <c r="KP1" s="44">
        <v>44840</v>
      </c>
      <c r="KQ1" s="44">
        <v>44841</v>
      </c>
      <c r="KR1" s="44">
        <v>44842</v>
      </c>
      <c r="KS1" s="44">
        <v>44843</v>
      </c>
      <c r="KT1" s="44">
        <v>44844</v>
      </c>
      <c r="KU1" s="44">
        <v>44845</v>
      </c>
      <c r="KV1" s="44">
        <v>44846</v>
      </c>
      <c r="KW1" s="44">
        <v>44847</v>
      </c>
      <c r="KX1" s="44">
        <v>44848</v>
      </c>
      <c r="KY1" s="44">
        <v>44849</v>
      </c>
      <c r="KZ1" s="44">
        <v>44850</v>
      </c>
      <c r="LA1" s="44">
        <v>44851</v>
      </c>
      <c r="LB1" s="44">
        <v>44852</v>
      </c>
      <c r="LC1" s="44">
        <v>44853</v>
      </c>
      <c r="LD1" s="44">
        <v>44854</v>
      </c>
      <c r="LE1" s="44">
        <v>44855</v>
      </c>
      <c r="LF1" s="44">
        <v>44856</v>
      </c>
      <c r="LG1" s="44">
        <v>44857</v>
      </c>
      <c r="LH1" s="44">
        <v>44858</v>
      </c>
      <c r="LI1" s="44">
        <v>44859</v>
      </c>
      <c r="LJ1" s="44">
        <v>44860</v>
      </c>
      <c r="LK1" s="44">
        <v>44861</v>
      </c>
      <c r="LL1" s="44">
        <v>44862</v>
      </c>
      <c r="LM1" s="44">
        <v>44863</v>
      </c>
      <c r="LN1" s="44">
        <v>44864</v>
      </c>
      <c r="LO1" s="44">
        <v>44865</v>
      </c>
      <c r="LP1" s="44">
        <v>44866</v>
      </c>
      <c r="LQ1" s="44">
        <v>44867</v>
      </c>
      <c r="LR1" s="44">
        <v>44868</v>
      </c>
      <c r="LS1" s="44">
        <v>44869</v>
      </c>
      <c r="LT1" s="44">
        <v>44870</v>
      </c>
      <c r="LU1" s="44">
        <v>44871</v>
      </c>
      <c r="LV1" s="44">
        <v>44872</v>
      </c>
      <c r="LW1" s="44">
        <v>44873</v>
      </c>
      <c r="LX1" s="44">
        <v>44874</v>
      </c>
      <c r="LY1" s="44">
        <v>44875</v>
      </c>
      <c r="LZ1" s="44">
        <v>44876</v>
      </c>
      <c r="MA1" s="44">
        <v>44877</v>
      </c>
      <c r="MB1" s="44">
        <v>44878</v>
      </c>
      <c r="MC1" s="44">
        <v>44879</v>
      </c>
      <c r="MD1" s="44">
        <v>44880</v>
      </c>
      <c r="ME1" s="44">
        <v>44881</v>
      </c>
      <c r="MF1" s="44">
        <v>44882</v>
      </c>
      <c r="MG1" s="44">
        <v>44883</v>
      </c>
      <c r="MH1" s="44">
        <v>44884</v>
      </c>
      <c r="MI1" s="44">
        <v>44885</v>
      </c>
      <c r="MJ1" s="44">
        <v>44886</v>
      </c>
      <c r="MK1" s="44">
        <v>44887</v>
      </c>
      <c r="ML1" s="44">
        <v>44888</v>
      </c>
      <c r="MM1" s="44">
        <v>44889</v>
      </c>
      <c r="MN1" s="44">
        <v>44890</v>
      </c>
      <c r="MO1" s="44">
        <v>44891</v>
      </c>
      <c r="MP1" s="44">
        <v>44892</v>
      </c>
      <c r="MQ1" s="44">
        <v>44893</v>
      </c>
      <c r="MR1" s="44">
        <v>44894</v>
      </c>
      <c r="MS1" s="44">
        <v>44895</v>
      </c>
      <c r="MT1" s="44">
        <v>44896</v>
      </c>
      <c r="MU1" s="44">
        <v>44897</v>
      </c>
      <c r="MV1" s="44">
        <v>44898</v>
      </c>
      <c r="MW1" s="44">
        <v>44899</v>
      </c>
      <c r="MX1" s="44">
        <v>44900</v>
      </c>
      <c r="MY1" s="44">
        <v>44901</v>
      </c>
      <c r="MZ1" s="44">
        <v>44902</v>
      </c>
      <c r="NA1" s="44">
        <v>44903</v>
      </c>
      <c r="NB1" s="44">
        <v>44904</v>
      </c>
      <c r="NC1" s="44">
        <v>44905</v>
      </c>
      <c r="ND1" s="44">
        <v>44906</v>
      </c>
      <c r="NE1" s="44">
        <v>44907</v>
      </c>
      <c r="NF1" s="44">
        <v>44908</v>
      </c>
      <c r="NG1" s="44">
        <v>44909</v>
      </c>
      <c r="NH1" s="44">
        <v>44910</v>
      </c>
      <c r="NI1" s="44">
        <v>44911</v>
      </c>
      <c r="NJ1" s="44">
        <v>44912</v>
      </c>
      <c r="NK1" s="44">
        <v>44913</v>
      </c>
      <c r="NL1" s="44">
        <v>44914</v>
      </c>
      <c r="NM1" s="44">
        <v>44915</v>
      </c>
      <c r="NN1" s="44">
        <v>44916</v>
      </c>
      <c r="NO1" s="44">
        <v>44917</v>
      </c>
      <c r="NP1" s="44">
        <v>44918</v>
      </c>
      <c r="NQ1" s="44">
        <v>44919</v>
      </c>
      <c r="NR1" s="44">
        <v>44920</v>
      </c>
      <c r="NS1" s="44">
        <v>44921</v>
      </c>
      <c r="NT1" s="44">
        <v>44922</v>
      </c>
      <c r="NU1" s="44">
        <v>44923</v>
      </c>
      <c r="NV1" s="44">
        <v>44924</v>
      </c>
      <c r="NW1" s="44">
        <v>44925</v>
      </c>
      <c r="NX1" s="44">
        <v>44926</v>
      </c>
    </row>
    <row r="2" spans="1:395" x14ac:dyDescent="0.25">
      <c r="X2" s="62" t="s">
        <v>0</v>
      </c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 t="s">
        <v>1</v>
      </c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 t="s">
        <v>12</v>
      </c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 t="s">
        <v>19</v>
      </c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62"/>
      <c r="EA2" s="62"/>
      <c r="EB2" s="62"/>
      <c r="EC2" s="62"/>
      <c r="ED2" s="62"/>
      <c r="EE2" s="62"/>
      <c r="EF2" s="62"/>
      <c r="EG2" s="62"/>
      <c r="EH2" s="62"/>
      <c r="EI2" s="62"/>
      <c r="EJ2" s="62"/>
      <c r="EK2" s="62"/>
      <c r="EL2" s="62"/>
      <c r="EM2" s="62"/>
      <c r="EN2" s="62" t="s">
        <v>20</v>
      </c>
      <c r="EO2" s="62"/>
      <c r="EP2" s="62"/>
      <c r="EQ2" s="62"/>
      <c r="ER2" s="62"/>
      <c r="ES2" s="62"/>
      <c r="ET2" s="62"/>
      <c r="EU2" s="62"/>
      <c r="EV2" s="62"/>
      <c r="EW2" s="62"/>
      <c r="EX2" s="62"/>
      <c r="EY2" s="62"/>
      <c r="EZ2" s="62"/>
      <c r="FA2" s="62"/>
      <c r="FB2" s="62"/>
      <c r="FC2" s="62"/>
      <c r="FD2" s="62"/>
      <c r="FE2" s="62"/>
      <c r="FF2" s="62"/>
      <c r="FG2" s="62"/>
      <c r="FH2" s="62"/>
      <c r="FI2" s="62"/>
      <c r="FJ2" s="62"/>
      <c r="FK2" s="62"/>
      <c r="FL2" s="62"/>
      <c r="FM2" s="62"/>
      <c r="FN2" s="62"/>
      <c r="FO2" s="62"/>
      <c r="FP2" s="62"/>
      <c r="FQ2" s="62"/>
      <c r="FR2" s="62"/>
      <c r="FS2" s="62" t="s">
        <v>766</v>
      </c>
      <c r="FT2" s="62"/>
      <c r="FU2" s="62"/>
      <c r="FV2" s="62"/>
      <c r="FW2" s="62"/>
      <c r="FX2" s="62"/>
      <c r="FY2" s="62"/>
      <c r="FZ2" s="62"/>
      <c r="GA2" s="62"/>
      <c r="GB2" s="62"/>
      <c r="GC2" s="62"/>
      <c r="GD2" s="62"/>
      <c r="GE2" s="62"/>
      <c r="GF2" s="62"/>
      <c r="GG2" s="62"/>
      <c r="GH2" s="62"/>
      <c r="GI2" s="62"/>
      <c r="GJ2" s="62"/>
      <c r="GK2" s="62"/>
      <c r="GL2" s="62"/>
      <c r="GM2" s="62"/>
      <c r="GN2" s="62"/>
      <c r="GO2" s="62"/>
      <c r="GP2" s="62"/>
      <c r="GQ2" s="62"/>
      <c r="GR2" s="62"/>
      <c r="GS2" s="62"/>
      <c r="GT2" s="62"/>
      <c r="GU2" s="62"/>
      <c r="GV2" s="62"/>
      <c r="GW2" s="62" t="s">
        <v>767</v>
      </c>
      <c r="GX2" s="62"/>
      <c r="GY2" s="62"/>
      <c r="GZ2" s="62"/>
      <c r="HA2" s="62"/>
      <c r="HB2" s="62"/>
      <c r="HC2" s="62"/>
      <c r="HD2" s="62"/>
      <c r="HE2" s="62"/>
      <c r="HF2" s="62"/>
      <c r="HG2" s="62"/>
      <c r="HH2" s="62"/>
      <c r="HI2" s="62"/>
      <c r="HJ2" s="62"/>
      <c r="HK2" s="62"/>
      <c r="HL2" s="62"/>
      <c r="HM2" s="62"/>
      <c r="HN2" s="62"/>
      <c r="HO2" s="62"/>
      <c r="HP2" s="62"/>
      <c r="HQ2" s="62"/>
      <c r="HR2" s="62"/>
      <c r="HS2" s="62"/>
      <c r="HT2" s="62"/>
      <c r="HU2" s="62"/>
      <c r="HV2" s="62"/>
      <c r="HW2" s="62"/>
      <c r="HX2" s="62"/>
      <c r="HY2" s="62"/>
      <c r="HZ2" s="62"/>
      <c r="IA2" s="62"/>
      <c r="IB2" s="62" t="s">
        <v>23</v>
      </c>
      <c r="IC2" s="62"/>
      <c r="ID2" s="62"/>
      <c r="IE2" s="62"/>
      <c r="IF2" s="62"/>
      <c r="IG2" s="62"/>
      <c r="IH2" s="62"/>
      <c r="II2" s="62"/>
      <c r="IJ2" s="62"/>
      <c r="IK2" s="62"/>
      <c r="IL2" s="62"/>
      <c r="IM2" s="62"/>
      <c r="IN2" s="62"/>
      <c r="IO2" s="62"/>
      <c r="IP2" s="62"/>
      <c r="IQ2" s="62"/>
      <c r="IR2" s="62"/>
      <c r="IS2" s="62"/>
      <c r="IT2" s="62"/>
      <c r="IU2" s="62"/>
      <c r="IV2" s="62"/>
      <c r="IW2" s="62"/>
      <c r="IX2" s="62"/>
      <c r="IY2" s="62"/>
      <c r="IZ2" s="62"/>
      <c r="JA2" s="62"/>
      <c r="JB2" s="62"/>
      <c r="JC2" s="62"/>
      <c r="JD2" s="62"/>
      <c r="JE2" s="62"/>
      <c r="JF2" s="62"/>
      <c r="JG2" s="62" t="s">
        <v>24</v>
      </c>
      <c r="JH2" s="62"/>
      <c r="JI2" s="62"/>
      <c r="JJ2" s="62"/>
      <c r="JK2" s="62"/>
      <c r="JL2" s="62"/>
      <c r="JM2" s="62"/>
      <c r="JN2" s="62"/>
      <c r="JO2" s="62"/>
      <c r="JP2" s="62"/>
      <c r="JQ2" s="62"/>
      <c r="JR2" s="62"/>
      <c r="JS2" s="62"/>
      <c r="JT2" s="62"/>
      <c r="JU2" s="62"/>
      <c r="JV2" s="62"/>
      <c r="JW2" s="62"/>
      <c r="JX2" s="62"/>
      <c r="JY2" s="62"/>
      <c r="JZ2" s="62"/>
      <c r="KA2" s="62"/>
      <c r="KB2" s="62"/>
      <c r="KC2" s="62"/>
      <c r="KD2" s="62"/>
      <c r="KE2" s="62"/>
      <c r="KF2" s="62"/>
      <c r="KG2" s="62"/>
      <c r="KH2" s="62"/>
      <c r="KI2" s="62"/>
      <c r="KJ2" s="62"/>
      <c r="KK2" s="62" t="s">
        <v>25</v>
      </c>
      <c r="KL2" s="62"/>
      <c r="KM2" s="62"/>
      <c r="KN2" s="62"/>
      <c r="KO2" s="62"/>
      <c r="KP2" s="62"/>
      <c r="KQ2" s="62"/>
      <c r="KR2" s="62"/>
      <c r="KS2" s="62"/>
      <c r="KT2" s="62"/>
      <c r="KU2" s="62"/>
      <c r="KV2" s="62"/>
      <c r="KW2" s="62"/>
      <c r="KX2" s="62"/>
      <c r="KY2" s="62"/>
      <c r="KZ2" s="62"/>
      <c r="LA2" s="62"/>
      <c r="LB2" s="62"/>
      <c r="LC2" s="62"/>
      <c r="LD2" s="62"/>
      <c r="LE2" s="62"/>
      <c r="LF2" s="62"/>
      <c r="LG2" s="62"/>
      <c r="LH2" s="62"/>
      <c r="LI2" s="62"/>
      <c r="LJ2" s="62"/>
      <c r="LK2" s="62"/>
      <c r="LL2" s="62"/>
      <c r="LM2" s="62"/>
      <c r="LN2" s="62"/>
      <c r="LO2" s="62"/>
      <c r="LP2" s="62" t="s">
        <v>26</v>
      </c>
      <c r="LQ2" s="62"/>
      <c r="LR2" s="62"/>
      <c r="LS2" s="62"/>
      <c r="LT2" s="62"/>
      <c r="LU2" s="62"/>
      <c r="LV2" s="62"/>
      <c r="LW2" s="62"/>
      <c r="LX2" s="62"/>
      <c r="LY2" s="62"/>
      <c r="LZ2" s="62"/>
      <c r="MA2" s="62"/>
      <c r="MB2" s="62"/>
      <c r="MC2" s="62"/>
      <c r="MD2" s="62"/>
      <c r="ME2" s="62"/>
      <c r="MF2" s="62"/>
      <c r="MG2" s="62"/>
      <c r="MH2" s="62"/>
      <c r="MI2" s="62"/>
      <c r="MJ2" s="62"/>
      <c r="MK2" s="62"/>
      <c r="ML2" s="62"/>
      <c r="MM2" s="62"/>
      <c r="MN2" s="62"/>
      <c r="MO2" s="62"/>
      <c r="MP2" s="62"/>
      <c r="MQ2" s="62"/>
      <c r="MR2" s="62"/>
      <c r="MS2" s="62"/>
      <c r="MT2" s="62" t="s">
        <v>27</v>
      </c>
      <c r="MU2" s="62"/>
      <c r="MV2" s="62"/>
      <c r="MW2" s="62"/>
      <c r="MX2" s="62"/>
      <c r="MY2" s="62"/>
      <c r="MZ2" s="62"/>
      <c r="NA2" s="62"/>
      <c r="NB2" s="62"/>
      <c r="NC2" s="62"/>
      <c r="ND2" s="62"/>
      <c r="NE2" s="62"/>
      <c r="NF2" s="62"/>
      <c r="NG2" s="62"/>
      <c r="NH2" s="62"/>
      <c r="NI2" s="62"/>
      <c r="NJ2" s="62"/>
      <c r="NK2" s="62"/>
      <c r="NL2" s="62"/>
      <c r="NM2" s="62"/>
      <c r="NN2" s="62"/>
      <c r="NO2" s="62"/>
      <c r="NP2" s="62"/>
      <c r="NQ2" s="62"/>
      <c r="NR2" s="62"/>
      <c r="NS2" s="62"/>
      <c r="NT2" s="62"/>
      <c r="NU2" s="62"/>
      <c r="NV2" s="62"/>
      <c r="NW2" s="62"/>
      <c r="NX2" s="62"/>
    </row>
    <row r="3" spans="1:395" x14ac:dyDescent="0.25">
      <c r="G3" s="6" t="s">
        <v>15</v>
      </c>
      <c r="H3" s="6"/>
      <c r="I3" s="7">
        <v>0.83</v>
      </c>
      <c r="L3" s="67" t="s">
        <v>14</v>
      </c>
      <c r="M3" s="67"/>
      <c r="N3" s="67"/>
      <c r="O3" s="67"/>
      <c r="P3" s="67"/>
      <c r="Q3" s="67"/>
      <c r="R3" s="67"/>
      <c r="S3" s="67"/>
      <c r="T3" s="67"/>
      <c r="U3" s="67"/>
      <c r="V3" s="67"/>
      <c r="W3" s="68"/>
      <c r="X3" s="61">
        <f>AVERAGE(X4:BB4)</f>
        <v>0.8203125</v>
      </c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>
        <f>AVERAGE(BC4:CD4)</f>
        <v>0.82236842105263153</v>
      </c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X3" s="62"/>
      <c r="BY3" s="62"/>
      <c r="BZ3" s="62"/>
      <c r="CA3" s="62"/>
      <c r="CB3" s="62"/>
      <c r="CC3" s="62"/>
      <c r="CD3" s="62"/>
      <c r="CE3" s="61">
        <f>AVERAGE(CE4:DI4)</f>
        <v>0.95238095238095233</v>
      </c>
      <c r="CF3" s="62"/>
      <c r="CG3" s="62"/>
      <c r="CH3" s="62"/>
      <c r="CI3" s="62"/>
      <c r="CJ3" s="62"/>
      <c r="CK3" s="62"/>
      <c r="CL3" s="62"/>
      <c r="CM3" s="62"/>
      <c r="CN3" s="62"/>
      <c r="CO3" s="62"/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B3" s="62"/>
      <c r="DC3" s="62"/>
      <c r="DD3" s="62"/>
      <c r="DE3" s="62"/>
      <c r="DF3" s="62"/>
      <c r="DG3" s="62"/>
      <c r="DH3" s="62"/>
      <c r="DI3" s="62"/>
      <c r="DJ3" s="61">
        <f>AVERAGE(DJ4:EM4)</f>
        <v>0.95833333333333337</v>
      </c>
      <c r="DK3" s="62"/>
      <c r="DL3" s="62"/>
      <c r="DM3" s="62"/>
      <c r="DN3" s="62"/>
      <c r="DO3" s="62"/>
      <c r="DP3" s="62"/>
      <c r="DQ3" s="62"/>
      <c r="DR3" s="62"/>
      <c r="DS3" s="62"/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  <c r="EF3" s="62"/>
      <c r="EG3" s="62"/>
      <c r="EH3" s="62"/>
      <c r="EI3" s="62"/>
      <c r="EJ3" s="62"/>
      <c r="EK3" s="62"/>
      <c r="EL3" s="62"/>
      <c r="EM3" s="62"/>
      <c r="EN3" s="61">
        <f>AVERAGE(EN4:FR4)</f>
        <v>0.97916666666666663</v>
      </c>
      <c r="EO3" s="62"/>
      <c r="EP3" s="62"/>
      <c r="EQ3" s="62"/>
      <c r="ER3" s="62"/>
      <c r="ES3" s="62"/>
      <c r="ET3" s="62"/>
      <c r="EU3" s="62"/>
      <c r="EV3" s="62"/>
      <c r="EW3" s="62"/>
      <c r="EX3" s="62"/>
      <c r="EY3" s="62"/>
      <c r="EZ3" s="62"/>
      <c r="FA3" s="62"/>
      <c r="FB3" s="62"/>
      <c r="FC3" s="62"/>
      <c r="FD3" s="62"/>
      <c r="FE3" s="62"/>
      <c r="FF3" s="62"/>
      <c r="FG3" s="62"/>
      <c r="FH3" s="62"/>
      <c r="FI3" s="62"/>
      <c r="FJ3" s="62"/>
      <c r="FK3" s="62"/>
      <c r="FL3" s="62"/>
      <c r="FM3" s="62"/>
      <c r="FN3" s="62"/>
      <c r="FO3" s="62"/>
      <c r="FP3" s="62"/>
      <c r="FQ3" s="62"/>
      <c r="FR3" s="62"/>
      <c r="FS3" s="61">
        <f>AVERAGE(FS4:GV4)</f>
        <v>0.95833333333333337</v>
      </c>
      <c r="FT3" s="62"/>
      <c r="FU3" s="62"/>
      <c r="FV3" s="62"/>
      <c r="FW3" s="62"/>
      <c r="FX3" s="62"/>
      <c r="FY3" s="62"/>
      <c r="FZ3" s="62"/>
      <c r="GA3" s="62"/>
      <c r="GB3" s="62"/>
      <c r="GC3" s="62"/>
      <c r="GD3" s="62"/>
      <c r="GE3" s="62"/>
      <c r="GF3" s="62"/>
      <c r="GG3" s="62"/>
      <c r="GH3" s="62"/>
      <c r="GI3" s="62"/>
      <c r="GJ3" s="62"/>
      <c r="GK3" s="62"/>
      <c r="GL3" s="62"/>
      <c r="GM3" s="62"/>
      <c r="GN3" s="62"/>
      <c r="GO3" s="62"/>
      <c r="GP3" s="62"/>
      <c r="GQ3" s="62"/>
      <c r="GR3" s="62"/>
      <c r="GS3" s="62"/>
      <c r="GT3" s="62"/>
      <c r="GU3" s="62"/>
      <c r="GV3" s="62"/>
      <c r="GW3" s="61">
        <f>AVERAGE(GW4:IA4)</f>
        <v>0.9464285714285714</v>
      </c>
      <c r="GX3" s="62"/>
      <c r="GY3" s="62"/>
      <c r="GZ3" s="62"/>
      <c r="HA3" s="62"/>
      <c r="HB3" s="62"/>
      <c r="HC3" s="62"/>
      <c r="HD3" s="62"/>
      <c r="HE3" s="62"/>
      <c r="HF3" s="62"/>
      <c r="HG3" s="62"/>
      <c r="HH3" s="62"/>
      <c r="HI3" s="62"/>
      <c r="HJ3" s="62"/>
      <c r="HK3" s="62"/>
      <c r="HL3" s="62"/>
      <c r="HM3" s="62"/>
      <c r="HN3" s="62"/>
      <c r="HO3" s="62"/>
      <c r="HP3" s="62"/>
      <c r="HQ3" s="62"/>
      <c r="HR3" s="62"/>
      <c r="HS3" s="62"/>
      <c r="HT3" s="62"/>
      <c r="HU3" s="62"/>
      <c r="HV3" s="62"/>
      <c r="HW3" s="62"/>
      <c r="HX3" s="62"/>
      <c r="HY3" s="62"/>
      <c r="HZ3" s="62"/>
      <c r="IA3" s="62"/>
      <c r="IB3" s="61">
        <f>AVERAGE(IB4:JF4)</f>
        <v>0.92934782608695654</v>
      </c>
      <c r="IC3" s="62"/>
      <c r="ID3" s="62"/>
      <c r="IE3" s="62"/>
      <c r="IF3" s="62"/>
      <c r="IG3" s="62"/>
      <c r="IH3" s="62"/>
      <c r="II3" s="62"/>
      <c r="IJ3" s="62"/>
      <c r="IK3" s="62"/>
      <c r="IL3" s="62"/>
      <c r="IM3" s="62"/>
      <c r="IN3" s="62"/>
      <c r="IO3" s="62"/>
      <c r="IP3" s="62"/>
      <c r="IQ3" s="62"/>
      <c r="IR3" s="62"/>
      <c r="IS3" s="62"/>
      <c r="IT3" s="62"/>
      <c r="IU3" s="62"/>
      <c r="IV3" s="62"/>
      <c r="IW3" s="62"/>
      <c r="IX3" s="62"/>
      <c r="IY3" s="62"/>
      <c r="IZ3" s="62"/>
      <c r="JA3" s="62"/>
      <c r="JB3" s="62"/>
      <c r="JC3" s="62"/>
      <c r="JD3" s="62"/>
      <c r="JE3" s="62"/>
      <c r="JF3" s="62"/>
      <c r="JG3" s="61">
        <f>AVERAGE(JG4:KJ4)</f>
        <v>0.90625</v>
      </c>
      <c r="JH3" s="62"/>
      <c r="JI3" s="62"/>
      <c r="JJ3" s="62"/>
      <c r="JK3" s="62"/>
      <c r="JL3" s="62"/>
      <c r="JM3" s="62"/>
      <c r="JN3" s="62"/>
      <c r="JO3" s="62"/>
      <c r="JP3" s="62"/>
      <c r="JQ3" s="62"/>
      <c r="JR3" s="62"/>
      <c r="JS3" s="62"/>
      <c r="JT3" s="62"/>
      <c r="JU3" s="62"/>
      <c r="JV3" s="62"/>
      <c r="JW3" s="62"/>
      <c r="JX3" s="62"/>
      <c r="JY3" s="62"/>
      <c r="JZ3" s="62"/>
      <c r="KA3" s="62"/>
      <c r="KB3" s="62"/>
      <c r="KC3" s="62"/>
      <c r="KD3" s="62"/>
      <c r="KE3" s="62"/>
      <c r="KF3" s="62"/>
      <c r="KG3" s="62"/>
      <c r="KH3" s="62"/>
      <c r="KI3" s="62"/>
      <c r="KJ3" s="62"/>
      <c r="KK3" s="61">
        <f>AVERAGE(KK4:LO4)</f>
        <v>1</v>
      </c>
      <c r="KL3" s="62"/>
      <c r="KM3" s="62"/>
      <c r="KN3" s="62"/>
      <c r="KO3" s="62"/>
      <c r="KP3" s="62"/>
      <c r="KQ3" s="62"/>
      <c r="KR3" s="62"/>
      <c r="KS3" s="62"/>
      <c r="KT3" s="62"/>
      <c r="KU3" s="62"/>
      <c r="KV3" s="62"/>
      <c r="KW3" s="62"/>
      <c r="KX3" s="62"/>
      <c r="KY3" s="62"/>
      <c r="KZ3" s="62"/>
      <c r="LA3" s="62"/>
      <c r="LB3" s="62"/>
      <c r="LC3" s="62"/>
      <c r="LD3" s="62"/>
      <c r="LE3" s="62"/>
      <c r="LF3" s="62"/>
      <c r="LG3" s="62"/>
      <c r="LH3" s="62"/>
      <c r="LI3" s="62"/>
      <c r="LJ3" s="62"/>
      <c r="LK3" s="62"/>
      <c r="LL3" s="62"/>
      <c r="LM3" s="62"/>
      <c r="LN3" s="62"/>
      <c r="LO3" s="62"/>
      <c r="LP3" s="61">
        <f>AVERAGE(LP4:MS4)</f>
        <v>0.98809523809523814</v>
      </c>
      <c r="LQ3" s="62"/>
      <c r="LR3" s="62"/>
      <c r="LS3" s="62"/>
      <c r="LT3" s="62"/>
      <c r="LU3" s="62"/>
      <c r="LV3" s="62"/>
      <c r="LW3" s="62"/>
      <c r="LX3" s="62"/>
      <c r="LY3" s="62"/>
      <c r="LZ3" s="62"/>
      <c r="MA3" s="62"/>
      <c r="MB3" s="62"/>
      <c r="MC3" s="62"/>
      <c r="MD3" s="62"/>
      <c r="ME3" s="62"/>
      <c r="MF3" s="62"/>
      <c r="MG3" s="62"/>
      <c r="MH3" s="62"/>
      <c r="MI3" s="62"/>
      <c r="MJ3" s="62"/>
      <c r="MK3" s="62"/>
      <c r="ML3" s="62"/>
      <c r="MM3" s="62"/>
      <c r="MN3" s="62"/>
      <c r="MO3" s="62"/>
      <c r="MP3" s="62"/>
      <c r="MQ3" s="62"/>
      <c r="MR3" s="62"/>
      <c r="MS3" s="62"/>
      <c r="MT3" s="61">
        <f>AVERAGE(MT4:NX4)</f>
        <v>1</v>
      </c>
      <c r="MU3" s="62"/>
      <c r="MV3" s="62"/>
      <c r="MW3" s="62"/>
      <c r="MX3" s="62"/>
      <c r="MY3" s="62"/>
      <c r="MZ3" s="62"/>
      <c r="NA3" s="62"/>
      <c r="NB3" s="62"/>
      <c r="NC3" s="62"/>
      <c r="ND3" s="62"/>
      <c r="NE3" s="62"/>
      <c r="NF3" s="62"/>
      <c r="NG3" s="62"/>
      <c r="NH3" s="62"/>
      <c r="NI3" s="62"/>
      <c r="NJ3" s="62"/>
      <c r="NK3" s="62"/>
      <c r="NL3" s="62"/>
      <c r="NM3" s="62"/>
      <c r="NN3" s="62"/>
      <c r="NO3" s="62"/>
      <c r="NP3" s="62"/>
      <c r="NQ3" s="62"/>
      <c r="NR3" s="62"/>
      <c r="NS3" s="62"/>
      <c r="NT3" s="62"/>
      <c r="NU3" s="62"/>
      <c r="NV3" s="62"/>
      <c r="NW3" s="62"/>
      <c r="NX3" s="62"/>
    </row>
    <row r="4" spans="1:395" ht="24.75" x14ac:dyDescent="0.25">
      <c r="L4" s="9">
        <f>X3</f>
        <v>0.8203125</v>
      </c>
      <c r="M4" s="9">
        <f>BC3</f>
        <v>0.82236842105263153</v>
      </c>
      <c r="N4" s="9">
        <f>CE3</f>
        <v>0.95238095238095233</v>
      </c>
      <c r="O4" s="9">
        <f>DJ3</f>
        <v>0.95833333333333337</v>
      </c>
      <c r="P4" s="9">
        <f>EN3</f>
        <v>0.97916666666666663</v>
      </c>
      <c r="Q4" s="9">
        <f>FS3</f>
        <v>0.95833333333333337</v>
      </c>
      <c r="R4" s="9">
        <f>GW3</f>
        <v>0.9464285714285714</v>
      </c>
      <c r="S4" s="9">
        <f>IB3</f>
        <v>0.92934782608695654</v>
      </c>
      <c r="T4" s="9">
        <f>JG3</f>
        <v>0.90625</v>
      </c>
      <c r="U4" s="9">
        <f>KK3</f>
        <v>1</v>
      </c>
      <c r="V4" s="9">
        <f>LP3</f>
        <v>0.98809523809523814</v>
      </c>
      <c r="W4" s="9">
        <f>MT3</f>
        <v>1</v>
      </c>
      <c r="X4" s="5" t="str">
        <f t="shared" ref="X4:CI4" si="0">IF(OR(WEEKDAY(X$1)=1,WEEKDAY(X$1)=7,X$5=1),"",1-SUBTOTAL(9,X8:X101)/SUBTOTAL(3,$C$8:$C$101))</f>
        <v/>
      </c>
      <c r="Y4" s="5" t="str">
        <f t="shared" si="0"/>
        <v/>
      </c>
      <c r="Z4" s="5" t="str">
        <f t="shared" si="0"/>
        <v/>
      </c>
      <c r="AA4" s="5" t="str">
        <f t="shared" si="0"/>
        <v/>
      </c>
      <c r="AB4" s="5" t="str">
        <f t="shared" si="0"/>
        <v/>
      </c>
      <c r="AC4" s="5" t="str">
        <f t="shared" si="0"/>
        <v/>
      </c>
      <c r="AD4" s="5" t="str">
        <f t="shared" si="0"/>
        <v/>
      </c>
      <c r="AE4" s="5" t="str">
        <f t="shared" si="0"/>
        <v/>
      </c>
      <c r="AF4" s="5" t="str">
        <f t="shared" si="0"/>
        <v/>
      </c>
      <c r="AG4" s="5">
        <f t="shared" si="0"/>
        <v>0.75</v>
      </c>
      <c r="AH4" s="5">
        <f t="shared" si="0"/>
        <v>0.75</v>
      </c>
      <c r="AI4" s="5">
        <f t="shared" si="0"/>
        <v>0.75</v>
      </c>
      <c r="AJ4" s="5">
        <f t="shared" si="0"/>
        <v>0.75</v>
      </c>
      <c r="AK4" s="5">
        <f t="shared" si="0"/>
        <v>0.75</v>
      </c>
      <c r="AL4" s="5" t="str">
        <f t="shared" si="0"/>
        <v/>
      </c>
      <c r="AM4" s="5" t="str">
        <f t="shared" si="0"/>
        <v/>
      </c>
      <c r="AN4" s="5">
        <f t="shared" si="0"/>
        <v>0.6875</v>
      </c>
      <c r="AO4" s="5">
        <f t="shared" si="0"/>
        <v>0.6875</v>
      </c>
      <c r="AP4" s="5">
        <f t="shared" si="0"/>
        <v>0.75</v>
      </c>
      <c r="AQ4" s="5">
        <f t="shared" si="0"/>
        <v>0.8125</v>
      </c>
      <c r="AR4" s="5">
        <f t="shared" si="0"/>
        <v>0.8125</v>
      </c>
      <c r="AS4" s="5" t="str">
        <f t="shared" si="0"/>
        <v/>
      </c>
      <c r="AT4" s="5" t="str">
        <f t="shared" si="0"/>
        <v/>
      </c>
      <c r="AU4" s="5">
        <f t="shared" si="0"/>
        <v>0.9375</v>
      </c>
      <c r="AV4" s="5">
        <f t="shared" si="0"/>
        <v>0.9375</v>
      </c>
      <c r="AW4" s="5">
        <f t="shared" si="0"/>
        <v>0.9375</v>
      </c>
      <c r="AX4" s="5">
        <f t="shared" si="0"/>
        <v>0.9375</v>
      </c>
      <c r="AY4" s="5">
        <f t="shared" si="0"/>
        <v>0.9375</v>
      </c>
      <c r="AZ4" s="5" t="str">
        <f t="shared" si="0"/>
        <v/>
      </c>
      <c r="BA4" s="5" t="str">
        <f t="shared" si="0"/>
        <v/>
      </c>
      <c r="BB4" s="5">
        <f t="shared" si="0"/>
        <v>0.9375</v>
      </c>
      <c r="BC4" s="5">
        <f t="shared" si="0"/>
        <v>0.875</v>
      </c>
      <c r="BD4" s="5">
        <f t="shared" si="0"/>
        <v>0.875</v>
      </c>
      <c r="BE4" s="5">
        <f t="shared" si="0"/>
        <v>0.875</v>
      </c>
      <c r="BF4" s="5">
        <f t="shared" si="0"/>
        <v>0.9375</v>
      </c>
      <c r="BG4" s="5" t="str">
        <f t="shared" si="0"/>
        <v/>
      </c>
      <c r="BH4" s="5" t="str">
        <f t="shared" si="0"/>
        <v/>
      </c>
      <c r="BI4" s="5">
        <f t="shared" si="0"/>
        <v>0.9375</v>
      </c>
      <c r="BJ4" s="5">
        <f t="shared" si="0"/>
        <v>0.875</v>
      </c>
      <c r="BK4" s="5">
        <f t="shared" si="0"/>
        <v>0.8125</v>
      </c>
      <c r="BL4" s="5">
        <f t="shared" si="0"/>
        <v>0.75</v>
      </c>
      <c r="BM4" s="5">
        <f t="shared" si="0"/>
        <v>0.75</v>
      </c>
      <c r="BN4" s="5" t="str">
        <f t="shared" si="0"/>
        <v/>
      </c>
      <c r="BO4" s="5" t="str">
        <f t="shared" si="0"/>
        <v/>
      </c>
      <c r="BP4" s="5">
        <f t="shared" si="0"/>
        <v>0.75</v>
      </c>
      <c r="BQ4" s="5">
        <f t="shared" si="0"/>
        <v>0.6875</v>
      </c>
      <c r="BR4" s="5">
        <f t="shared" si="0"/>
        <v>0.75</v>
      </c>
      <c r="BS4" s="5">
        <f t="shared" si="0"/>
        <v>0.6875</v>
      </c>
      <c r="BT4" s="5">
        <f t="shared" si="0"/>
        <v>0.6875</v>
      </c>
      <c r="BU4" s="5" t="str">
        <f t="shared" si="0"/>
        <v/>
      </c>
      <c r="BV4" s="5" t="str">
        <f t="shared" si="0"/>
        <v/>
      </c>
      <c r="BW4" s="5">
        <f t="shared" si="0"/>
        <v>0.8125</v>
      </c>
      <c r="BX4" s="5">
        <f t="shared" si="0"/>
        <v>0.875</v>
      </c>
      <c r="BY4" s="5" t="str">
        <f t="shared" si="0"/>
        <v/>
      </c>
      <c r="BZ4" s="5">
        <f t="shared" si="0"/>
        <v>0.875</v>
      </c>
      <c r="CA4" s="5">
        <f t="shared" si="0"/>
        <v>0.875</v>
      </c>
      <c r="CB4" s="5" t="str">
        <f t="shared" si="0"/>
        <v/>
      </c>
      <c r="CC4" s="5" t="str">
        <f t="shared" si="0"/>
        <v/>
      </c>
      <c r="CD4" s="5">
        <f t="shared" si="0"/>
        <v>0.9375</v>
      </c>
      <c r="CE4" s="5">
        <f t="shared" si="0"/>
        <v>0.875</v>
      </c>
      <c r="CF4" s="5">
        <f t="shared" si="0"/>
        <v>0.9375</v>
      </c>
      <c r="CG4" s="5">
        <f t="shared" si="0"/>
        <v>0.9375</v>
      </c>
      <c r="CH4" s="5">
        <f t="shared" si="0"/>
        <v>0.9375</v>
      </c>
      <c r="CI4" s="5" t="str">
        <f t="shared" si="0"/>
        <v/>
      </c>
      <c r="CJ4" s="5" t="str">
        <f t="shared" ref="CJ4:EU4" si="1">IF(OR(WEEKDAY(CJ$1)=1,WEEKDAY(CJ$1)=7,CJ$5=1),"",1-SUBTOTAL(9,CJ8:CJ101)/SUBTOTAL(3,$C$8:$C$101))</f>
        <v/>
      </c>
      <c r="CK4" s="5" t="str">
        <f t="shared" si="1"/>
        <v/>
      </c>
      <c r="CL4" s="5" t="str">
        <f t="shared" si="1"/>
        <v/>
      </c>
      <c r="CM4" s="5">
        <f t="shared" si="1"/>
        <v>0.875</v>
      </c>
      <c r="CN4" s="5">
        <f t="shared" si="1"/>
        <v>0.875</v>
      </c>
      <c r="CO4" s="5">
        <f t="shared" si="1"/>
        <v>0.875</v>
      </c>
      <c r="CP4" s="5" t="str">
        <f t="shared" si="1"/>
        <v/>
      </c>
      <c r="CQ4" s="5" t="str">
        <f t="shared" si="1"/>
        <v/>
      </c>
      <c r="CR4" s="5">
        <f t="shared" si="1"/>
        <v>0.875</v>
      </c>
      <c r="CS4" s="5">
        <f t="shared" si="1"/>
        <v>0.875</v>
      </c>
      <c r="CT4" s="5">
        <f t="shared" si="1"/>
        <v>0.9375</v>
      </c>
      <c r="CU4" s="5">
        <f t="shared" si="1"/>
        <v>1</v>
      </c>
      <c r="CV4" s="5">
        <f t="shared" si="1"/>
        <v>1</v>
      </c>
      <c r="CW4" s="5" t="str">
        <f t="shared" si="1"/>
        <v/>
      </c>
      <c r="CX4" s="5" t="str">
        <f t="shared" si="1"/>
        <v/>
      </c>
      <c r="CY4" s="5">
        <f t="shared" si="1"/>
        <v>1</v>
      </c>
      <c r="CZ4" s="5">
        <f t="shared" si="1"/>
        <v>1</v>
      </c>
      <c r="DA4" s="5">
        <f t="shared" si="1"/>
        <v>1</v>
      </c>
      <c r="DB4" s="5">
        <f t="shared" si="1"/>
        <v>1</v>
      </c>
      <c r="DC4" s="5">
        <f t="shared" si="1"/>
        <v>1</v>
      </c>
      <c r="DD4" s="5" t="str">
        <f t="shared" si="1"/>
        <v/>
      </c>
      <c r="DE4" s="5" t="str">
        <f t="shared" si="1"/>
        <v/>
      </c>
      <c r="DF4" s="5">
        <f t="shared" si="1"/>
        <v>1</v>
      </c>
      <c r="DG4" s="5">
        <f t="shared" si="1"/>
        <v>1</v>
      </c>
      <c r="DH4" s="5">
        <f t="shared" si="1"/>
        <v>1</v>
      </c>
      <c r="DI4" s="5">
        <f t="shared" si="1"/>
        <v>1</v>
      </c>
      <c r="DJ4" s="5">
        <f t="shared" si="1"/>
        <v>0.9375</v>
      </c>
      <c r="DK4" s="5" t="str">
        <f t="shared" si="1"/>
        <v/>
      </c>
      <c r="DL4" s="5" t="str">
        <f t="shared" si="1"/>
        <v/>
      </c>
      <c r="DM4" s="5">
        <f t="shared" si="1"/>
        <v>0.9375</v>
      </c>
      <c r="DN4" s="5">
        <f t="shared" si="1"/>
        <v>0.9375</v>
      </c>
      <c r="DO4" s="5">
        <f t="shared" si="1"/>
        <v>0.9375</v>
      </c>
      <c r="DP4" s="5">
        <f t="shared" si="1"/>
        <v>0.9375</v>
      </c>
      <c r="DQ4" s="5">
        <f t="shared" si="1"/>
        <v>0.9375</v>
      </c>
      <c r="DR4" s="5" t="str">
        <f t="shared" si="1"/>
        <v/>
      </c>
      <c r="DS4" s="5" t="str">
        <f t="shared" si="1"/>
        <v/>
      </c>
      <c r="DT4" s="5">
        <f t="shared" si="1"/>
        <v>0.9375</v>
      </c>
      <c r="DU4" s="5">
        <f t="shared" si="1"/>
        <v>0.9375</v>
      </c>
      <c r="DV4" s="5">
        <f t="shared" si="1"/>
        <v>0.9375</v>
      </c>
      <c r="DW4" s="5">
        <f t="shared" si="1"/>
        <v>0.9375</v>
      </c>
      <c r="DX4" s="5">
        <f t="shared" si="1"/>
        <v>0.9375</v>
      </c>
      <c r="DY4" s="5" t="str">
        <f t="shared" si="1"/>
        <v/>
      </c>
      <c r="DZ4" s="5" t="str">
        <f t="shared" si="1"/>
        <v/>
      </c>
      <c r="EA4" s="5">
        <f t="shared" si="1"/>
        <v>0.9375</v>
      </c>
      <c r="EB4" s="5">
        <f t="shared" si="1"/>
        <v>0.9375</v>
      </c>
      <c r="EC4" s="5">
        <f t="shared" si="1"/>
        <v>0.9375</v>
      </c>
      <c r="ED4" s="5">
        <f t="shared" si="1"/>
        <v>1</v>
      </c>
      <c r="EE4" s="5">
        <f t="shared" si="1"/>
        <v>1</v>
      </c>
      <c r="EF4" s="5" t="str">
        <f t="shared" si="1"/>
        <v/>
      </c>
      <c r="EG4" s="5" t="str">
        <f t="shared" si="1"/>
        <v/>
      </c>
      <c r="EH4" s="5">
        <f t="shared" si="1"/>
        <v>1</v>
      </c>
      <c r="EI4" s="5">
        <f t="shared" si="1"/>
        <v>1</v>
      </c>
      <c r="EJ4" s="5">
        <f t="shared" si="1"/>
        <v>1</v>
      </c>
      <c r="EK4" s="5">
        <f t="shared" si="1"/>
        <v>1</v>
      </c>
      <c r="EL4" s="5">
        <f t="shared" si="1"/>
        <v>1</v>
      </c>
      <c r="EM4" s="5" t="str">
        <f t="shared" si="1"/>
        <v/>
      </c>
      <c r="EN4" s="5" t="str">
        <f t="shared" si="1"/>
        <v/>
      </c>
      <c r="EO4" s="5" t="str">
        <f t="shared" si="1"/>
        <v/>
      </c>
      <c r="EP4" s="5" t="str">
        <f t="shared" si="1"/>
        <v/>
      </c>
      <c r="EQ4" s="5">
        <f t="shared" si="1"/>
        <v>0.9375</v>
      </c>
      <c r="ER4" s="5">
        <f t="shared" si="1"/>
        <v>0.9375</v>
      </c>
      <c r="ES4" s="5">
        <f t="shared" si="1"/>
        <v>0.9375</v>
      </c>
      <c r="ET4" s="5" t="str">
        <f t="shared" si="1"/>
        <v/>
      </c>
      <c r="EU4" s="5" t="str">
        <f t="shared" si="1"/>
        <v/>
      </c>
      <c r="EV4" s="5" t="str">
        <f t="shared" ref="EV4:HG4" si="2">IF(OR(WEEKDAY(EV$1)=1,WEEKDAY(EV$1)=7,EV$5=1),"",1-SUBTOTAL(9,EV8:EV101)/SUBTOTAL(3,$C$8:$C$101))</f>
        <v/>
      </c>
      <c r="EW4" s="5" t="str">
        <f t="shared" si="2"/>
        <v/>
      </c>
      <c r="EX4" s="5">
        <f t="shared" si="2"/>
        <v>0.9375</v>
      </c>
      <c r="EY4" s="5">
        <f t="shared" si="2"/>
        <v>0.9375</v>
      </c>
      <c r="EZ4" s="5">
        <f t="shared" si="2"/>
        <v>0.9375</v>
      </c>
      <c r="FA4" s="5" t="str">
        <f t="shared" si="2"/>
        <v/>
      </c>
      <c r="FB4" s="5" t="str">
        <f t="shared" si="2"/>
        <v/>
      </c>
      <c r="FC4" s="5">
        <f t="shared" si="2"/>
        <v>1</v>
      </c>
      <c r="FD4" s="5">
        <f t="shared" si="2"/>
        <v>1</v>
      </c>
      <c r="FE4" s="5">
        <f t="shared" si="2"/>
        <v>1</v>
      </c>
      <c r="FF4" s="5">
        <f t="shared" si="2"/>
        <v>1</v>
      </c>
      <c r="FG4" s="5">
        <f t="shared" si="2"/>
        <v>1</v>
      </c>
      <c r="FH4" s="5" t="str">
        <f t="shared" si="2"/>
        <v/>
      </c>
      <c r="FI4" s="5" t="str">
        <f t="shared" si="2"/>
        <v/>
      </c>
      <c r="FJ4" s="5">
        <f t="shared" si="2"/>
        <v>1</v>
      </c>
      <c r="FK4" s="5">
        <f t="shared" si="2"/>
        <v>1</v>
      </c>
      <c r="FL4" s="5">
        <f t="shared" si="2"/>
        <v>1</v>
      </c>
      <c r="FM4" s="5">
        <f t="shared" si="2"/>
        <v>1</v>
      </c>
      <c r="FN4" s="5">
        <f t="shared" si="2"/>
        <v>1</v>
      </c>
      <c r="FO4" s="5" t="str">
        <f t="shared" si="2"/>
        <v/>
      </c>
      <c r="FP4" s="5" t="str">
        <f t="shared" si="2"/>
        <v/>
      </c>
      <c r="FQ4" s="5">
        <f t="shared" si="2"/>
        <v>1</v>
      </c>
      <c r="FR4" s="5">
        <f t="shared" si="2"/>
        <v>1</v>
      </c>
      <c r="FS4" s="5">
        <f t="shared" si="2"/>
        <v>0.9375</v>
      </c>
      <c r="FT4" s="5">
        <f t="shared" si="2"/>
        <v>0.9375</v>
      </c>
      <c r="FU4" s="5">
        <f t="shared" si="2"/>
        <v>0.9375</v>
      </c>
      <c r="FV4" s="5" t="str">
        <f t="shared" si="2"/>
        <v/>
      </c>
      <c r="FW4" s="5" t="str">
        <f t="shared" si="2"/>
        <v/>
      </c>
      <c r="FX4" s="5">
        <f t="shared" si="2"/>
        <v>0.9375</v>
      </c>
      <c r="FY4" s="5">
        <f t="shared" si="2"/>
        <v>0.9375</v>
      </c>
      <c r="FZ4" s="5">
        <f t="shared" si="2"/>
        <v>0.9375</v>
      </c>
      <c r="GA4" s="5">
        <f t="shared" si="2"/>
        <v>0.9375</v>
      </c>
      <c r="GB4" s="5">
        <f t="shared" si="2"/>
        <v>0.9375</v>
      </c>
      <c r="GC4" s="5" t="str">
        <f t="shared" si="2"/>
        <v/>
      </c>
      <c r="GD4" s="5" t="str">
        <f t="shared" si="2"/>
        <v/>
      </c>
      <c r="GE4" s="5" t="str">
        <f t="shared" si="2"/>
        <v/>
      </c>
      <c r="GF4" s="5">
        <f t="shared" si="2"/>
        <v>0.9375</v>
      </c>
      <c r="GG4" s="5">
        <f t="shared" si="2"/>
        <v>0.9375</v>
      </c>
      <c r="GH4" s="5">
        <f t="shared" si="2"/>
        <v>0.9375</v>
      </c>
      <c r="GI4" s="5">
        <f t="shared" si="2"/>
        <v>0.9375</v>
      </c>
      <c r="GJ4" s="5" t="str">
        <f t="shared" si="2"/>
        <v/>
      </c>
      <c r="GK4" s="5" t="str">
        <f t="shared" si="2"/>
        <v/>
      </c>
      <c r="GL4" s="5">
        <f t="shared" si="2"/>
        <v>0.9375</v>
      </c>
      <c r="GM4" s="5">
        <f t="shared" si="2"/>
        <v>0.9375</v>
      </c>
      <c r="GN4" s="5">
        <f t="shared" si="2"/>
        <v>1</v>
      </c>
      <c r="GO4" s="5">
        <f t="shared" si="2"/>
        <v>1</v>
      </c>
      <c r="GP4" s="5">
        <f t="shared" si="2"/>
        <v>1</v>
      </c>
      <c r="GQ4" s="5" t="str">
        <f t="shared" si="2"/>
        <v/>
      </c>
      <c r="GR4" s="5" t="str">
        <f t="shared" si="2"/>
        <v/>
      </c>
      <c r="GS4" s="5">
        <f t="shared" si="2"/>
        <v>1</v>
      </c>
      <c r="GT4" s="5">
        <f t="shared" si="2"/>
        <v>1</v>
      </c>
      <c r="GU4" s="5">
        <f t="shared" si="2"/>
        <v>1</v>
      </c>
      <c r="GV4" s="5">
        <f t="shared" si="2"/>
        <v>1</v>
      </c>
      <c r="GW4" s="5">
        <f t="shared" si="2"/>
        <v>0.875</v>
      </c>
      <c r="GX4" s="5" t="str">
        <f t="shared" si="2"/>
        <v/>
      </c>
      <c r="GY4" s="5" t="str">
        <f t="shared" si="2"/>
        <v/>
      </c>
      <c r="GZ4" s="5">
        <f t="shared" si="2"/>
        <v>0.875</v>
      </c>
      <c r="HA4" s="5">
        <f t="shared" si="2"/>
        <v>0.875</v>
      </c>
      <c r="HB4" s="5">
        <f t="shared" si="2"/>
        <v>0.875</v>
      </c>
      <c r="HC4" s="5">
        <f t="shared" si="2"/>
        <v>0.875</v>
      </c>
      <c r="HD4" s="5">
        <f t="shared" si="2"/>
        <v>0.875</v>
      </c>
      <c r="HE4" s="5" t="str">
        <f t="shared" si="2"/>
        <v/>
      </c>
      <c r="HF4" s="5" t="str">
        <f t="shared" si="2"/>
        <v/>
      </c>
      <c r="HG4" s="5">
        <f t="shared" si="2"/>
        <v>0.9375</v>
      </c>
      <c r="HH4" s="5">
        <f t="shared" ref="HH4:JS4" si="3">IF(OR(WEEKDAY(HH$1)=1,WEEKDAY(HH$1)=7,HH$5=1),"",1-SUBTOTAL(9,HH8:HH101)/SUBTOTAL(3,$C$8:$C$101))</f>
        <v>0.9375</v>
      </c>
      <c r="HI4" s="5">
        <f t="shared" si="3"/>
        <v>0.9375</v>
      </c>
      <c r="HJ4" s="5">
        <f t="shared" si="3"/>
        <v>0.9375</v>
      </c>
      <c r="HK4" s="5">
        <f t="shared" si="3"/>
        <v>0.9375</v>
      </c>
      <c r="HL4" s="5" t="str">
        <f t="shared" si="3"/>
        <v/>
      </c>
      <c r="HM4" s="5" t="str">
        <f t="shared" si="3"/>
        <v/>
      </c>
      <c r="HN4" s="5">
        <f t="shared" si="3"/>
        <v>0.9375</v>
      </c>
      <c r="HO4" s="5">
        <f t="shared" si="3"/>
        <v>1</v>
      </c>
      <c r="HP4" s="5">
        <f t="shared" si="3"/>
        <v>1</v>
      </c>
      <c r="HQ4" s="5">
        <f t="shared" si="3"/>
        <v>1</v>
      </c>
      <c r="HR4" s="5">
        <f t="shared" si="3"/>
        <v>1</v>
      </c>
      <c r="HS4" s="5" t="str">
        <f t="shared" si="3"/>
        <v/>
      </c>
      <c r="HT4" s="5" t="str">
        <f t="shared" si="3"/>
        <v/>
      </c>
      <c r="HU4" s="5">
        <f t="shared" si="3"/>
        <v>1</v>
      </c>
      <c r="HV4" s="5">
        <f t="shared" si="3"/>
        <v>1</v>
      </c>
      <c r="HW4" s="5">
        <f t="shared" si="3"/>
        <v>1</v>
      </c>
      <c r="HX4" s="5">
        <f t="shared" si="3"/>
        <v>1</v>
      </c>
      <c r="HY4" s="5">
        <f t="shared" si="3"/>
        <v>1</v>
      </c>
      <c r="HZ4" s="5" t="str">
        <f t="shared" si="3"/>
        <v/>
      </c>
      <c r="IA4" s="5" t="str">
        <f t="shared" si="3"/>
        <v/>
      </c>
      <c r="IB4" s="5">
        <f t="shared" si="3"/>
        <v>0.875</v>
      </c>
      <c r="IC4" s="5">
        <f t="shared" si="3"/>
        <v>0.875</v>
      </c>
      <c r="ID4" s="5">
        <f t="shared" si="3"/>
        <v>0.875</v>
      </c>
      <c r="IE4" s="5">
        <f t="shared" si="3"/>
        <v>0.875</v>
      </c>
      <c r="IF4" s="5">
        <f t="shared" si="3"/>
        <v>0.875</v>
      </c>
      <c r="IG4" s="5" t="str">
        <f t="shared" si="3"/>
        <v/>
      </c>
      <c r="IH4" s="5" t="str">
        <f t="shared" si="3"/>
        <v/>
      </c>
      <c r="II4" s="5">
        <f t="shared" si="3"/>
        <v>0.8125</v>
      </c>
      <c r="IJ4" s="5">
        <f t="shared" si="3"/>
        <v>0.8125</v>
      </c>
      <c r="IK4" s="5">
        <f t="shared" si="3"/>
        <v>0.8125</v>
      </c>
      <c r="IL4" s="5">
        <f t="shared" si="3"/>
        <v>0.875</v>
      </c>
      <c r="IM4" s="5">
        <f t="shared" si="3"/>
        <v>0.875</v>
      </c>
      <c r="IN4" s="5" t="str">
        <f t="shared" si="3"/>
        <v/>
      </c>
      <c r="IO4" s="5" t="str">
        <f t="shared" si="3"/>
        <v/>
      </c>
      <c r="IP4" s="5">
        <f t="shared" si="3"/>
        <v>0.875</v>
      </c>
      <c r="IQ4" s="5">
        <f t="shared" si="3"/>
        <v>0.9375</v>
      </c>
      <c r="IR4" s="5">
        <f t="shared" si="3"/>
        <v>1</v>
      </c>
      <c r="IS4" s="5">
        <f t="shared" si="3"/>
        <v>1</v>
      </c>
      <c r="IT4" s="5">
        <f t="shared" si="3"/>
        <v>1</v>
      </c>
      <c r="IU4" s="5" t="str">
        <f t="shared" si="3"/>
        <v/>
      </c>
      <c r="IV4" s="5" t="str">
        <f t="shared" si="3"/>
        <v/>
      </c>
      <c r="IW4" s="5">
        <f t="shared" si="3"/>
        <v>1</v>
      </c>
      <c r="IX4" s="5">
        <f t="shared" si="3"/>
        <v>1</v>
      </c>
      <c r="IY4" s="5">
        <f t="shared" si="3"/>
        <v>1</v>
      </c>
      <c r="IZ4" s="5">
        <f t="shared" si="3"/>
        <v>1</v>
      </c>
      <c r="JA4" s="5">
        <f t="shared" si="3"/>
        <v>1</v>
      </c>
      <c r="JB4" s="5" t="str">
        <f t="shared" si="3"/>
        <v/>
      </c>
      <c r="JC4" s="5" t="str">
        <f t="shared" si="3"/>
        <v/>
      </c>
      <c r="JD4" s="5">
        <f t="shared" si="3"/>
        <v>1</v>
      </c>
      <c r="JE4" s="5">
        <f t="shared" si="3"/>
        <v>1</v>
      </c>
      <c r="JF4" s="5">
        <f t="shared" si="3"/>
        <v>1</v>
      </c>
      <c r="JG4" s="5">
        <f t="shared" si="3"/>
        <v>0.9375</v>
      </c>
      <c r="JH4" s="5">
        <f t="shared" si="3"/>
        <v>0.9375</v>
      </c>
      <c r="JI4" s="5" t="str">
        <f t="shared" si="3"/>
        <v/>
      </c>
      <c r="JJ4" s="5" t="str">
        <f t="shared" si="3"/>
        <v/>
      </c>
      <c r="JK4" s="5">
        <f t="shared" si="3"/>
        <v>0.9375</v>
      </c>
      <c r="JL4" s="5">
        <f t="shared" si="3"/>
        <v>0.9375</v>
      </c>
      <c r="JM4" s="5">
        <f t="shared" si="3"/>
        <v>0.875</v>
      </c>
      <c r="JN4" s="5">
        <f t="shared" si="3"/>
        <v>0.875</v>
      </c>
      <c r="JO4" s="5">
        <f t="shared" si="3"/>
        <v>0.75</v>
      </c>
      <c r="JP4" s="5" t="str">
        <f t="shared" si="3"/>
        <v/>
      </c>
      <c r="JQ4" s="5" t="str">
        <f t="shared" si="3"/>
        <v/>
      </c>
      <c r="JR4" s="5">
        <f t="shared" si="3"/>
        <v>0.8125</v>
      </c>
      <c r="JS4" s="5">
        <f t="shared" si="3"/>
        <v>0.8125</v>
      </c>
      <c r="JT4" s="5">
        <f t="shared" ref="JT4:ME4" si="4">IF(OR(WEEKDAY(JT$1)=1,WEEKDAY(JT$1)=7,JT$5=1),"",1-SUBTOTAL(9,JT8:JT101)/SUBTOTAL(3,$C$8:$C$101))</f>
        <v>0.8125</v>
      </c>
      <c r="JU4" s="5">
        <f t="shared" si="4"/>
        <v>0.8125</v>
      </c>
      <c r="JV4" s="5">
        <f t="shared" si="4"/>
        <v>0.8125</v>
      </c>
      <c r="JW4" s="5" t="str">
        <f t="shared" si="4"/>
        <v/>
      </c>
      <c r="JX4" s="5" t="str">
        <f t="shared" si="4"/>
        <v/>
      </c>
      <c r="JY4" s="5">
        <f t="shared" si="4"/>
        <v>0.8125</v>
      </c>
      <c r="JZ4" s="5">
        <f t="shared" si="4"/>
        <v>0.8125</v>
      </c>
      <c r="KA4" s="5">
        <f t="shared" si="4"/>
        <v>1</v>
      </c>
      <c r="KB4" s="5">
        <f t="shared" si="4"/>
        <v>1</v>
      </c>
      <c r="KC4" s="5">
        <f t="shared" si="4"/>
        <v>1</v>
      </c>
      <c r="KD4" s="5" t="str">
        <f t="shared" si="4"/>
        <v/>
      </c>
      <c r="KE4" s="5" t="str">
        <f t="shared" si="4"/>
        <v/>
      </c>
      <c r="KF4" s="5">
        <f t="shared" si="4"/>
        <v>1</v>
      </c>
      <c r="KG4" s="5">
        <f t="shared" si="4"/>
        <v>1</v>
      </c>
      <c r="KH4" s="5">
        <f t="shared" si="4"/>
        <v>1</v>
      </c>
      <c r="KI4" s="5">
        <f t="shared" si="4"/>
        <v>1</v>
      </c>
      <c r="KJ4" s="5">
        <f t="shared" si="4"/>
        <v>1</v>
      </c>
      <c r="KK4" s="5" t="str">
        <f t="shared" si="4"/>
        <v/>
      </c>
      <c r="KL4" s="5" t="str">
        <f t="shared" si="4"/>
        <v/>
      </c>
      <c r="KM4" s="5">
        <f t="shared" si="4"/>
        <v>1</v>
      </c>
      <c r="KN4" s="5">
        <f t="shared" si="4"/>
        <v>1</v>
      </c>
      <c r="KO4" s="5">
        <f t="shared" si="4"/>
        <v>1</v>
      </c>
      <c r="KP4" s="5">
        <f t="shared" si="4"/>
        <v>1</v>
      </c>
      <c r="KQ4" s="5">
        <f t="shared" si="4"/>
        <v>1</v>
      </c>
      <c r="KR4" s="5" t="str">
        <f t="shared" si="4"/>
        <v/>
      </c>
      <c r="KS4" s="5" t="str">
        <f t="shared" si="4"/>
        <v/>
      </c>
      <c r="KT4" s="5">
        <f t="shared" si="4"/>
        <v>1</v>
      </c>
      <c r="KU4" s="5">
        <f t="shared" si="4"/>
        <v>1</v>
      </c>
      <c r="KV4" s="5">
        <f t="shared" si="4"/>
        <v>1</v>
      </c>
      <c r="KW4" s="5">
        <f t="shared" si="4"/>
        <v>1</v>
      </c>
      <c r="KX4" s="5">
        <f t="shared" si="4"/>
        <v>1</v>
      </c>
      <c r="KY4" s="5" t="str">
        <f t="shared" si="4"/>
        <v/>
      </c>
      <c r="KZ4" s="5" t="str">
        <f t="shared" si="4"/>
        <v/>
      </c>
      <c r="LA4" s="5">
        <f t="shared" si="4"/>
        <v>1</v>
      </c>
      <c r="LB4" s="5">
        <f t="shared" si="4"/>
        <v>1</v>
      </c>
      <c r="LC4" s="5">
        <f t="shared" si="4"/>
        <v>1</v>
      </c>
      <c r="LD4" s="5">
        <f t="shared" si="4"/>
        <v>1</v>
      </c>
      <c r="LE4" s="5">
        <f t="shared" si="4"/>
        <v>1</v>
      </c>
      <c r="LF4" s="5" t="str">
        <f t="shared" si="4"/>
        <v/>
      </c>
      <c r="LG4" s="5" t="str">
        <f t="shared" si="4"/>
        <v/>
      </c>
      <c r="LH4" s="5">
        <f t="shared" si="4"/>
        <v>1</v>
      </c>
      <c r="LI4" s="5">
        <f t="shared" si="4"/>
        <v>1</v>
      </c>
      <c r="LJ4" s="5">
        <f t="shared" si="4"/>
        <v>1</v>
      </c>
      <c r="LK4" s="5">
        <f t="shared" si="4"/>
        <v>1</v>
      </c>
      <c r="LL4" s="5">
        <f t="shared" si="4"/>
        <v>1</v>
      </c>
      <c r="LM4" s="5" t="str">
        <f t="shared" si="4"/>
        <v/>
      </c>
      <c r="LN4" s="5" t="str">
        <f t="shared" si="4"/>
        <v/>
      </c>
      <c r="LO4" s="5">
        <f t="shared" si="4"/>
        <v>1</v>
      </c>
      <c r="LP4" s="5">
        <f t="shared" si="4"/>
        <v>1</v>
      </c>
      <c r="LQ4" s="5">
        <f t="shared" si="4"/>
        <v>1</v>
      </c>
      <c r="LR4" s="5">
        <f t="shared" si="4"/>
        <v>1</v>
      </c>
      <c r="LS4" s="5" t="str">
        <f t="shared" si="4"/>
        <v/>
      </c>
      <c r="LT4" s="5" t="str">
        <f t="shared" si="4"/>
        <v/>
      </c>
      <c r="LU4" s="5" t="str">
        <f t="shared" si="4"/>
        <v/>
      </c>
      <c r="LV4" s="5">
        <f t="shared" si="4"/>
        <v>1</v>
      </c>
      <c r="LW4" s="5">
        <f t="shared" si="4"/>
        <v>1</v>
      </c>
      <c r="LX4" s="5">
        <f t="shared" si="4"/>
        <v>1</v>
      </c>
      <c r="LY4" s="5">
        <f t="shared" si="4"/>
        <v>1</v>
      </c>
      <c r="LZ4" s="5">
        <f t="shared" si="4"/>
        <v>1</v>
      </c>
      <c r="MA4" s="5" t="str">
        <f t="shared" si="4"/>
        <v/>
      </c>
      <c r="MB4" s="5" t="str">
        <f t="shared" si="4"/>
        <v/>
      </c>
      <c r="MC4" s="5">
        <f t="shared" si="4"/>
        <v>1</v>
      </c>
      <c r="MD4" s="5">
        <f t="shared" si="4"/>
        <v>1</v>
      </c>
      <c r="ME4" s="5">
        <f t="shared" si="4"/>
        <v>1</v>
      </c>
      <c r="MF4" s="5">
        <f t="shared" ref="MF4:NX4" si="5">IF(OR(WEEKDAY(MF$1)=1,WEEKDAY(MF$1)=7,MF$5=1),"",1-SUBTOTAL(9,MF8:MF101)/SUBTOTAL(3,$C$8:$C$101))</f>
        <v>1</v>
      </c>
      <c r="MG4" s="5">
        <f t="shared" si="5"/>
        <v>1</v>
      </c>
      <c r="MH4" s="5" t="str">
        <f t="shared" si="5"/>
        <v/>
      </c>
      <c r="MI4" s="5" t="str">
        <f t="shared" si="5"/>
        <v/>
      </c>
      <c r="MJ4" s="5">
        <f t="shared" si="5"/>
        <v>1</v>
      </c>
      <c r="MK4" s="5">
        <f t="shared" si="5"/>
        <v>0.9375</v>
      </c>
      <c r="ML4" s="5">
        <f t="shared" si="5"/>
        <v>0.9375</v>
      </c>
      <c r="MM4" s="5">
        <f t="shared" si="5"/>
        <v>0.9375</v>
      </c>
      <c r="MN4" s="5">
        <f t="shared" si="5"/>
        <v>0.9375</v>
      </c>
      <c r="MO4" s="5" t="str">
        <f t="shared" si="5"/>
        <v/>
      </c>
      <c r="MP4" s="5" t="str">
        <f t="shared" si="5"/>
        <v/>
      </c>
      <c r="MQ4" s="5">
        <f t="shared" si="5"/>
        <v>1</v>
      </c>
      <c r="MR4" s="5">
        <f t="shared" si="5"/>
        <v>1</v>
      </c>
      <c r="MS4" s="5">
        <f t="shared" si="5"/>
        <v>1</v>
      </c>
      <c r="MT4" s="5">
        <f t="shared" si="5"/>
        <v>1</v>
      </c>
      <c r="MU4" s="5">
        <f t="shared" si="5"/>
        <v>1</v>
      </c>
      <c r="MV4" s="5" t="str">
        <f t="shared" si="5"/>
        <v/>
      </c>
      <c r="MW4" s="5" t="str">
        <f t="shared" si="5"/>
        <v/>
      </c>
      <c r="MX4" s="5">
        <f t="shared" si="5"/>
        <v>1</v>
      </c>
      <c r="MY4" s="5">
        <f t="shared" si="5"/>
        <v>1</v>
      </c>
      <c r="MZ4" s="5">
        <f t="shared" si="5"/>
        <v>1</v>
      </c>
      <c r="NA4" s="5">
        <f t="shared" si="5"/>
        <v>1</v>
      </c>
      <c r="NB4" s="5">
        <f t="shared" si="5"/>
        <v>1</v>
      </c>
      <c r="NC4" s="5" t="str">
        <f t="shared" si="5"/>
        <v/>
      </c>
      <c r="ND4" s="5" t="str">
        <f t="shared" si="5"/>
        <v/>
      </c>
      <c r="NE4" s="5">
        <f t="shared" si="5"/>
        <v>1</v>
      </c>
      <c r="NF4" s="5">
        <f t="shared" si="5"/>
        <v>1</v>
      </c>
      <c r="NG4" s="5">
        <f t="shared" si="5"/>
        <v>1</v>
      </c>
      <c r="NH4" s="5">
        <f t="shared" si="5"/>
        <v>1</v>
      </c>
      <c r="NI4" s="5">
        <f t="shared" si="5"/>
        <v>1</v>
      </c>
      <c r="NJ4" s="5" t="str">
        <f t="shared" si="5"/>
        <v/>
      </c>
      <c r="NK4" s="5" t="str">
        <f t="shared" si="5"/>
        <v/>
      </c>
      <c r="NL4" s="5">
        <f t="shared" si="5"/>
        <v>1</v>
      </c>
      <c r="NM4" s="5">
        <f t="shared" si="5"/>
        <v>1</v>
      </c>
      <c r="NN4" s="5">
        <f t="shared" si="5"/>
        <v>1</v>
      </c>
      <c r="NO4" s="5">
        <f t="shared" si="5"/>
        <v>1</v>
      </c>
      <c r="NP4" s="5">
        <f t="shared" si="5"/>
        <v>1</v>
      </c>
      <c r="NQ4" s="5" t="str">
        <f t="shared" si="5"/>
        <v/>
      </c>
      <c r="NR4" s="5" t="str">
        <f t="shared" si="5"/>
        <v/>
      </c>
      <c r="NS4" s="5">
        <f t="shared" si="5"/>
        <v>1</v>
      </c>
      <c r="NT4" s="5">
        <f t="shared" si="5"/>
        <v>1</v>
      </c>
      <c r="NU4" s="5">
        <f t="shared" si="5"/>
        <v>1</v>
      </c>
      <c r="NV4" s="5">
        <f t="shared" si="5"/>
        <v>1</v>
      </c>
      <c r="NW4" s="5">
        <f t="shared" si="5"/>
        <v>1</v>
      </c>
      <c r="NX4" s="5" t="str">
        <f t="shared" si="5"/>
        <v/>
      </c>
    </row>
    <row r="5" spans="1:395" hidden="1" x14ac:dyDescent="0.25">
      <c r="I5" t="s">
        <v>5</v>
      </c>
      <c r="L5" s="36">
        <v>44562</v>
      </c>
      <c r="M5" s="36">
        <v>44593</v>
      </c>
      <c r="N5" s="36">
        <v>44621</v>
      </c>
      <c r="O5" s="36">
        <v>44652</v>
      </c>
      <c r="P5" s="36">
        <v>44682</v>
      </c>
      <c r="Q5" s="36">
        <v>44713</v>
      </c>
      <c r="R5" s="36">
        <v>44743</v>
      </c>
      <c r="S5" s="36">
        <v>44774</v>
      </c>
      <c r="T5" s="36">
        <v>44805</v>
      </c>
      <c r="U5" s="36">
        <v>44835</v>
      </c>
      <c r="V5" s="36">
        <v>44866</v>
      </c>
      <c r="W5" s="36">
        <v>44896</v>
      </c>
      <c r="Z5" s="1">
        <v>1</v>
      </c>
      <c r="AA5" s="1">
        <v>1</v>
      </c>
      <c r="AB5" s="1">
        <v>1</v>
      </c>
      <c r="AC5" s="1">
        <v>1</v>
      </c>
      <c r="AD5" s="1">
        <v>1</v>
      </c>
      <c r="BP5" s="1"/>
      <c r="BQ5" s="1"/>
      <c r="BR5" s="1"/>
      <c r="BS5" s="1"/>
      <c r="BT5" s="1"/>
      <c r="BU5" s="1"/>
      <c r="BV5" s="1"/>
      <c r="BW5" s="1"/>
      <c r="BX5" s="1"/>
      <c r="BY5" s="1">
        <v>1</v>
      </c>
      <c r="BZ5" s="1"/>
      <c r="CA5" s="1"/>
      <c r="CB5" s="1"/>
      <c r="CC5" s="1"/>
      <c r="CD5" s="1"/>
      <c r="CI5">
        <v>0</v>
      </c>
      <c r="CK5">
        <v>1</v>
      </c>
      <c r="CL5">
        <v>1</v>
      </c>
      <c r="EO5">
        <v>1</v>
      </c>
      <c r="EP5">
        <v>1</v>
      </c>
      <c r="EV5">
        <v>1</v>
      </c>
      <c r="EW5">
        <v>1</v>
      </c>
      <c r="GE5">
        <v>1</v>
      </c>
      <c r="LS5">
        <v>1</v>
      </c>
    </row>
    <row r="6" spans="1:395" ht="15" customHeight="1" x14ac:dyDescent="0.25">
      <c r="E6" s="63" t="s">
        <v>2</v>
      </c>
      <c r="F6" s="63"/>
      <c r="G6" s="63" t="s">
        <v>3</v>
      </c>
      <c r="H6" s="63"/>
      <c r="I6" s="63" t="s">
        <v>4</v>
      </c>
      <c r="J6" s="63"/>
      <c r="K6" s="10"/>
      <c r="L6" s="64">
        <v>2022</v>
      </c>
      <c r="M6" s="65"/>
      <c r="N6" s="65"/>
      <c r="O6" s="65"/>
      <c r="P6" s="65"/>
      <c r="Q6" s="65"/>
      <c r="R6" s="65"/>
      <c r="S6" s="65"/>
      <c r="T6" s="65"/>
      <c r="U6" s="65"/>
      <c r="V6" s="65"/>
      <c r="W6" s="66"/>
      <c r="X6" s="52">
        <f>MONTH(X7)</f>
        <v>1</v>
      </c>
      <c r="Y6" s="52">
        <f t="shared" ref="Y6:CE6" si="6">MONTH(Y7)</f>
        <v>1</v>
      </c>
      <c r="Z6" s="52">
        <f t="shared" si="6"/>
        <v>1</v>
      </c>
      <c r="AA6" s="52">
        <f t="shared" si="6"/>
        <v>1</v>
      </c>
      <c r="AB6" s="52">
        <f t="shared" si="6"/>
        <v>1</v>
      </c>
      <c r="AC6" s="52">
        <f t="shared" si="6"/>
        <v>1</v>
      </c>
      <c r="AD6" s="52">
        <f t="shared" si="6"/>
        <v>1</v>
      </c>
      <c r="AE6" s="52">
        <f t="shared" si="6"/>
        <v>1</v>
      </c>
      <c r="AF6" s="52">
        <f t="shared" si="6"/>
        <v>1</v>
      </c>
      <c r="AG6" s="52">
        <f t="shared" si="6"/>
        <v>1</v>
      </c>
      <c r="AH6" s="52">
        <f t="shared" si="6"/>
        <v>1</v>
      </c>
      <c r="AI6" s="52">
        <f t="shared" si="6"/>
        <v>1</v>
      </c>
      <c r="AJ6" s="52">
        <f t="shared" si="6"/>
        <v>1</v>
      </c>
      <c r="AK6" s="52">
        <f t="shared" si="6"/>
        <v>1</v>
      </c>
      <c r="AL6" s="52">
        <f t="shared" si="6"/>
        <v>1</v>
      </c>
      <c r="AM6" s="52">
        <f t="shared" si="6"/>
        <v>1</v>
      </c>
      <c r="AN6" s="52">
        <f t="shared" si="6"/>
        <v>1</v>
      </c>
      <c r="AO6" s="52">
        <f t="shared" si="6"/>
        <v>1</v>
      </c>
      <c r="AP6" s="52">
        <f t="shared" si="6"/>
        <v>1</v>
      </c>
      <c r="AQ6" s="52">
        <f t="shared" si="6"/>
        <v>1</v>
      </c>
      <c r="AR6" s="52">
        <f t="shared" si="6"/>
        <v>1</v>
      </c>
      <c r="AS6" s="52">
        <f t="shared" si="6"/>
        <v>1</v>
      </c>
      <c r="AT6" s="52">
        <f t="shared" si="6"/>
        <v>1</v>
      </c>
      <c r="AU6" s="52">
        <f t="shared" si="6"/>
        <v>1</v>
      </c>
      <c r="AV6" s="52">
        <f t="shared" si="6"/>
        <v>1</v>
      </c>
      <c r="AW6" s="52">
        <f t="shared" si="6"/>
        <v>1</v>
      </c>
      <c r="AX6" s="52">
        <f t="shared" si="6"/>
        <v>1</v>
      </c>
      <c r="AY6" s="52">
        <f t="shared" si="6"/>
        <v>1</v>
      </c>
      <c r="AZ6" s="52">
        <f t="shared" si="6"/>
        <v>1</v>
      </c>
      <c r="BA6" s="52">
        <f t="shared" si="6"/>
        <v>1</v>
      </c>
      <c r="BB6" s="52">
        <f t="shared" si="6"/>
        <v>1</v>
      </c>
      <c r="BC6" s="52">
        <f t="shared" si="6"/>
        <v>2</v>
      </c>
      <c r="BD6" s="52">
        <f t="shared" si="6"/>
        <v>2</v>
      </c>
      <c r="BE6" s="52">
        <f t="shared" si="6"/>
        <v>2</v>
      </c>
      <c r="BF6" s="52">
        <f t="shared" si="6"/>
        <v>2</v>
      </c>
      <c r="BG6" s="52">
        <f t="shared" si="6"/>
        <v>2</v>
      </c>
      <c r="BH6" s="52">
        <f t="shared" si="6"/>
        <v>2</v>
      </c>
      <c r="BI6" s="52">
        <f t="shared" si="6"/>
        <v>2</v>
      </c>
      <c r="BJ6" s="52">
        <f t="shared" si="6"/>
        <v>2</v>
      </c>
      <c r="BK6" s="52">
        <f t="shared" si="6"/>
        <v>2</v>
      </c>
      <c r="BL6" s="52">
        <f t="shared" si="6"/>
        <v>2</v>
      </c>
      <c r="BM6" s="52">
        <f t="shared" si="6"/>
        <v>2</v>
      </c>
      <c r="BN6" s="52">
        <f t="shared" si="6"/>
        <v>2</v>
      </c>
      <c r="BO6" s="52">
        <f t="shared" si="6"/>
        <v>2</v>
      </c>
      <c r="BP6" s="52">
        <f t="shared" si="6"/>
        <v>2</v>
      </c>
      <c r="BQ6" s="52">
        <f t="shared" si="6"/>
        <v>2</v>
      </c>
      <c r="BR6" s="52">
        <f t="shared" si="6"/>
        <v>2</v>
      </c>
      <c r="BS6" s="52">
        <f t="shared" si="6"/>
        <v>2</v>
      </c>
      <c r="BT6" s="52">
        <f t="shared" si="6"/>
        <v>2</v>
      </c>
      <c r="BU6" s="52">
        <f t="shared" si="6"/>
        <v>2</v>
      </c>
      <c r="BV6" s="52">
        <f t="shared" si="6"/>
        <v>2</v>
      </c>
      <c r="BW6" s="52">
        <f t="shared" si="6"/>
        <v>2</v>
      </c>
      <c r="BX6" s="52">
        <f t="shared" si="6"/>
        <v>2</v>
      </c>
      <c r="BY6" s="52">
        <f t="shared" si="6"/>
        <v>2</v>
      </c>
      <c r="BZ6" s="52">
        <f t="shared" si="6"/>
        <v>2</v>
      </c>
      <c r="CA6" s="52">
        <f t="shared" si="6"/>
        <v>2</v>
      </c>
      <c r="CB6" s="52">
        <f t="shared" si="6"/>
        <v>2</v>
      </c>
      <c r="CC6" s="52">
        <f t="shared" si="6"/>
        <v>2</v>
      </c>
      <c r="CD6" s="52">
        <f t="shared" si="6"/>
        <v>2</v>
      </c>
      <c r="CE6" s="52">
        <f t="shared" si="6"/>
        <v>3</v>
      </c>
      <c r="CF6" s="52">
        <f>MONTH(CF7)</f>
        <v>3</v>
      </c>
      <c r="CG6" s="52">
        <f t="shared" ref="CG6" si="7">MONTH(CG7)</f>
        <v>3</v>
      </c>
      <c r="CH6" s="52">
        <f t="shared" ref="CH6" si="8">MONTH(CH7)</f>
        <v>3</v>
      </c>
      <c r="CI6" s="52">
        <f t="shared" ref="CI6" si="9">MONTH(CI7)</f>
        <v>3</v>
      </c>
      <c r="CJ6" s="52">
        <f t="shared" ref="CJ6" si="10">MONTH(CJ7)</f>
        <v>3</v>
      </c>
      <c r="CK6" s="52">
        <f t="shared" ref="CK6" si="11">MONTH(CK7)</f>
        <v>3</v>
      </c>
      <c r="CL6" s="52">
        <f t="shared" ref="CL6" si="12">MONTH(CL7)</f>
        <v>3</v>
      </c>
      <c r="CM6" s="52">
        <f t="shared" ref="CM6" si="13">MONTH(CM7)</f>
        <v>3</v>
      </c>
      <c r="CN6" s="52">
        <f t="shared" ref="CN6" si="14">MONTH(CN7)</f>
        <v>3</v>
      </c>
      <c r="CO6" s="52">
        <f t="shared" ref="CO6" si="15">MONTH(CO7)</f>
        <v>3</v>
      </c>
      <c r="CP6" s="52">
        <f t="shared" ref="CP6" si="16">MONTH(CP7)</f>
        <v>3</v>
      </c>
      <c r="CQ6" s="52">
        <f t="shared" ref="CQ6" si="17">MONTH(CQ7)</f>
        <v>3</v>
      </c>
      <c r="CR6" s="52">
        <f t="shared" ref="CR6" si="18">MONTH(CR7)</f>
        <v>3</v>
      </c>
      <c r="CS6" s="52">
        <f t="shared" ref="CS6" si="19">MONTH(CS7)</f>
        <v>3</v>
      </c>
      <c r="CT6" s="52">
        <f t="shared" ref="CT6" si="20">MONTH(CT7)</f>
        <v>3</v>
      </c>
      <c r="CU6" s="52">
        <f t="shared" ref="CU6" si="21">MONTH(CU7)</f>
        <v>3</v>
      </c>
      <c r="CV6" s="52">
        <f t="shared" ref="CV6" si="22">MONTH(CV7)</f>
        <v>3</v>
      </c>
      <c r="CW6" s="52">
        <f t="shared" ref="CW6" si="23">MONTH(CW7)</f>
        <v>3</v>
      </c>
      <c r="CX6" s="52">
        <f t="shared" ref="CX6" si="24">MONTH(CX7)</f>
        <v>3</v>
      </c>
      <c r="CY6" s="52">
        <f t="shared" ref="CY6" si="25">MONTH(CY7)</f>
        <v>3</v>
      </c>
      <c r="CZ6" s="52">
        <f t="shared" ref="CZ6" si="26">MONTH(CZ7)</f>
        <v>3</v>
      </c>
      <c r="DA6" s="52">
        <f t="shared" ref="DA6" si="27">MONTH(DA7)</f>
        <v>3</v>
      </c>
      <c r="DB6" s="52">
        <f t="shared" ref="DB6" si="28">MONTH(DB7)</f>
        <v>3</v>
      </c>
      <c r="DC6" s="52">
        <f t="shared" ref="DC6" si="29">MONTH(DC7)</f>
        <v>3</v>
      </c>
      <c r="DD6" s="52">
        <f t="shared" ref="DD6" si="30">MONTH(DD7)</f>
        <v>3</v>
      </c>
      <c r="DE6" s="52">
        <f t="shared" ref="DE6" si="31">MONTH(DE7)</f>
        <v>3</v>
      </c>
      <c r="DF6" s="52">
        <f t="shared" ref="DF6" si="32">MONTH(DF7)</f>
        <v>3</v>
      </c>
      <c r="DG6" s="52">
        <f t="shared" ref="DG6" si="33">MONTH(DG7)</f>
        <v>3</v>
      </c>
      <c r="DH6" s="52">
        <f t="shared" ref="DH6" si="34">MONTH(DH7)</f>
        <v>3</v>
      </c>
      <c r="DI6" s="52">
        <f t="shared" ref="DI6:FT6" si="35">MONTH(DI7)</f>
        <v>3</v>
      </c>
      <c r="DJ6" s="52">
        <f t="shared" si="35"/>
        <v>4</v>
      </c>
      <c r="DK6" s="52">
        <f t="shared" si="35"/>
        <v>4</v>
      </c>
      <c r="DL6" s="52">
        <f t="shared" si="35"/>
        <v>4</v>
      </c>
      <c r="DM6" s="52">
        <f t="shared" si="35"/>
        <v>4</v>
      </c>
      <c r="DN6" s="52">
        <f t="shared" si="35"/>
        <v>4</v>
      </c>
      <c r="DO6" s="52">
        <f t="shared" si="35"/>
        <v>4</v>
      </c>
      <c r="DP6" s="52">
        <f t="shared" si="35"/>
        <v>4</v>
      </c>
      <c r="DQ6" s="52">
        <f t="shared" si="35"/>
        <v>4</v>
      </c>
      <c r="DR6" s="52">
        <f t="shared" si="35"/>
        <v>4</v>
      </c>
      <c r="DS6" s="52">
        <f t="shared" si="35"/>
        <v>4</v>
      </c>
      <c r="DT6" s="52">
        <f t="shared" si="35"/>
        <v>4</v>
      </c>
      <c r="DU6" s="52">
        <f t="shared" si="35"/>
        <v>4</v>
      </c>
      <c r="DV6" s="52">
        <f t="shared" si="35"/>
        <v>4</v>
      </c>
      <c r="DW6" s="52">
        <f t="shared" si="35"/>
        <v>4</v>
      </c>
      <c r="DX6" s="52">
        <f t="shared" si="35"/>
        <v>4</v>
      </c>
      <c r="DY6" s="52">
        <f t="shared" si="35"/>
        <v>4</v>
      </c>
      <c r="DZ6" s="52">
        <f t="shared" si="35"/>
        <v>4</v>
      </c>
      <c r="EA6" s="52">
        <f t="shared" si="35"/>
        <v>4</v>
      </c>
      <c r="EB6" s="52">
        <f t="shared" si="35"/>
        <v>4</v>
      </c>
      <c r="EC6" s="52">
        <f t="shared" si="35"/>
        <v>4</v>
      </c>
      <c r="ED6" s="52">
        <f t="shared" si="35"/>
        <v>4</v>
      </c>
      <c r="EE6" s="52">
        <f t="shared" si="35"/>
        <v>4</v>
      </c>
      <c r="EF6" s="52">
        <f t="shared" si="35"/>
        <v>4</v>
      </c>
      <c r="EG6" s="52">
        <f t="shared" si="35"/>
        <v>4</v>
      </c>
      <c r="EH6" s="52">
        <f t="shared" si="35"/>
        <v>4</v>
      </c>
      <c r="EI6" s="52">
        <f t="shared" si="35"/>
        <v>4</v>
      </c>
      <c r="EJ6" s="52">
        <f t="shared" si="35"/>
        <v>4</v>
      </c>
      <c r="EK6" s="52">
        <f t="shared" si="35"/>
        <v>4</v>
      </c>
      <c r="EL6" s="52">
        <f t="shared" si="35"/>
        <v>4</v>
      </c>
      <c r="EM6" s="52">
        <f t="shared" si="35"/>
        <v>4</v>
      </c>
      <c r="EN6" s="52">
        <f t="shared" si="35"/>
        <v>5</v>
      </c>
      <c r="EO6" s="52">
        <f t="shared" si="35"/>
        <v>5</v>
      </c>
      <c r="EP6" s="52">
        <f t="shared" si="35"/>
        <v>5</v>
      </c>
      <c r="EQ6" s="52">
        <f t="shared" si="35"/>
        <v>5</v>
      </c>
      <c r="ER6" s="52">
        <f t="shared" si="35"/>
        <v>5</v>
      </c>
      <c r="ES6" s="52">
        <f t="shared" si="35"/>
        <v>5</v>
      </c>
      <c r="ET6" s="52">
        <f t="shared" si="35"/>
        <v>5</v>
      </c>
      <c r="EU6" s="52">
        <f t="shared" si="35"/>
        <v>5</v>
      </c>
      <c r="EV6" s="52">
        <f t="shared" si="35"/>
        <v>5</v>
      </c>
      <c r="EW6" s="52">
        <f t="shared" si="35"/>
        <v>5</v>
      </c>
      <c r="EX6" s="52">
        <f t="shared" si="35"/>
        <v>5</v>
      </c>
      <c r="EY6" s="52">
        <f t="shared" si="35"/>
        <v>5</v>
      </c>
      <c r="EZ6" s="52">
        <f t="shared" si="35"/>
        <v>5</v>
      </c>
      <c r="FA6" s="52">
        <f t="shared" si="35"/>
        <v>5</v>
      </c>
      <c r="FB6" s="52">
        <f t="shared" si="35"/>
        <v>5</v>
      </c>
      <c r="FC6" s="52">
        <f t="shared" si="35"/>
        <v>5</v>
      </c>
      <c r="FD6" s="52">
        <f t="shared" si="35"/>
        <v>5</v>
      </c>
      <c r="FE6" s="52">
        <f t="shared" si="35"/>
        <v>5</v>
      </c>
      <c r="FF6" s="52">
        <f t="shared" si="35"/>
        <v>5</v>
      </c>
      <c r="FG6" s="52">
        <f t="shared" si="35"/>
        <v>5</v>
      </c>
      <c r="FH6" s="52">
        <f t="shared" si="35"/>
        <v>5</v>
      </c>
      <c r="FI6" s="52">
        <f t="shared" si="35"/>
        <v>5</v>
      </c>
      <c r="FJ6" s="52">
        <f t="shared" si="35"/>
        <v>5</v>
      </c>
      <c r="FK6" s="52">
        <f t="shared" si="35"/>
        <v>5</v>
      </c>
      <c r="FL6" s="52">
        <f t="shared" si="35"/>
        <v>5</v>
      </c>
      <c r="FM6" s="52">
        <f t="shared" si="35"/>
        <v>5</v>
      </c>
      <c r="FN6" s="52">
        <f t="shared" si="35"/>
        <v>5</v>
      </c>
      <c r="FO6" s="52">
        <f t="shared" si="35"/>
        <v>5</v>
      </c>
      <c r="FP6" s="52">
        <f t="shared" si="35"/>
        <v>5</v>
      </c>
      <c r="FQ6" s="52">
        <f t="shared" si="35"/>
        <v>5</v>
      </c>
      <c r="FR6" s="52">
        <f t="shared" si="35"/>
        <v>5</v>
      </c>
      <c r="FS6" s="52">
        <f t="shared" si="35"/>
        <v>6</v>
      </c>
      <c r="FT6" s="52">
        <f t="shared" si="35"/>
        <v>6</v>
      </c>
      <c r="FU6" s="52">
        <f t="shared" ref="FU6:IF6" si="36">MONTH(FU7)</f>
        <v>6</v>
      </c>
      <c r="FV6" s="52">
        <f t="shared" si="36"/>
        <v>6</v>
      </c>
      <c r="FW6" s="52">
        <f t="shared" si="36"/>
        <v>6</v>
      </c>
      <c r="FX6" s="52">
        <f t="shared" si="36"/>
        <v>6</v>
      </c>
      <c r="FY6" s="52">
        <f t="shared" si="36"/>
        <v>6</v>
      </c>
      <c r="FZ6" s="52">
        <f t="shared" si="36"/>
        <v>6</v>
      </c>
      <c r="GA6" s="52">
        <f t="shared" si="36"/>
        <v>6</v>
      </c>
      <c r="GB6" s="52">
        <f t="shared" si="36"/>
        <v>6</v>
      </c>
      <c r="GC6" s="52">
        <f t="shared" si="36"/>
        <v>6</v>
      </c>
      <c r="GD6" s="52">
        <f t="shared" si="36"/>
        <v>6</v>
      </c>
      <c r="GE6" s="52">
        <f t="shared" si="36"/>
        <v>6</v>
      </c>
      <c r="GF6" s="52">
        <f t="shared" si="36"/>
        <v>6</v>
      </c>
      <c r="GG6" s="52">
        <f t="shared" si="36"/>
        <v>6</v>
      </c>
      <c r="GH6" s="52">
        <f t="shared" si="36"/>
        <v>6</v>
      </c>
      <c r="GI6" s="52">
        <f t="shared" si="36"/>
        <v>6</v>
      </c>
      <c r="GJ6" s="52">
        <f t="shared" si="36"/>
        <v>6</v>
      </c>
      <c r="GK6" s="52">
        <f t="shared" si="36"/>
        <v>6</v>
      </c>
      <c r="GL6" s="52">
        <f t="shared" si="36"/>
        <v>6</v>
      </c>
      <c r="GM6" s="52">
        <f t="shared" si="36"/>
        <v>6</v>
      </c>
      <c r="GN6" s="52">
        <f t="shared" si="36"/>
        <v>6</v>
      </c>
      <c r="GO6" s="52">
        <f t="shared" si="36"/>
        <v>6</v>
      </c>
      <c r="GP6" s="52">
        <f t="shared" si="36"/>
        <v>6</v>
      </c>
      <c r="GQ6" s="52">
        <f t="shared" si="36"/>
        <v>6</v>
      </c>
      <c r="GR6" s="52">
        <f t="shared" si="36"/>
        <v>6</v>
      </c>
      <c r="GS6" s="52">
        <f t="shared" si="36"/>
        <v>6</v>
      </c>
      <c r="GT6" s="52">
        <f t="shared" si="36"/>
        <v>6</v>
      </c>
      <c r="GU6" s="52">
        <f t="shared" si="36"/>
        <v>6</v>
      </c>
      <c r="GV6" s="52">
        <f t="shared" si="36"/>
        <v>6</v>
      </c>
      <c r="GW6" s="52">
        <f t="shared" si="36"/>
        <v>7</v>
      </c>
      <c r="GX6" s="52">
        <f t="shared" si="36"/>
        <v>7</v>
      </c>
      <c r="GY6" s="52">
        <f t="shared" si="36"/>
        <v>7</v>
      </c>
      <c r="GZ6" s="52">
        <f t="shared" si="36"/>
        <v>7</v>
      </c>
      <c r="HA6" s="52">
        <f t="shared" si="36"/>
        <v>7</v>
      </c>
      <c r="HB6" s="52">
        <f t="shared" si="36"/>
        <v>7</v>
      </c>
      <c r="HC6" s="52">
        <f t="shared" si="36"/>
        <v>7</v>
      </c>
      <c r="HD6" s="52">
        <f t="shared" si="36"/>
        <v>7</v>
      </c>
      <c r="HE6" s="52">
        <f t="shared" si="36"/>
        <v>7</v>
      </c>
      <c r="HF6" s="52">
        <f t="shared" si="36"/>
        <v>7</v>
      </c>
      <c r="HG6" s="52">
        <f t="shared" si="36"/>
        <v>7</v>
      </c>
      <c r="HH6" s="52">
        <f t="shared" si="36"/>
        <v>7</v>
      </c>
      <c r="HI6" s="52">
        <f t="shared" si="36"/>
        <v>7</v>
      </c>
      <c r="HJ6" s="52">
        <f t="shared" si="36"/>
        <v>7</v>
      </c>
      <c r="HK6" s="52">
        <f t="shared" si="36"/>
        <v>7</v>
      </c>
      <c r="HL6" s="52">
        <f t="shared" si="36"/>
        <v>7</v>
      </c>
      <c r="HM6" s="52">
        <f t="shared" si="36"/>
        <v>7</v>
      </c>
      <c r="HN6" s="52">
        <f t="shared" si="36"/>
        <v>7</v>
      </c>
      <c r="HO6" s="52">
        <f t="shared" si="36"/>
        <v>7</v>
      </c>
      <c r="HP6" s="52">
        <f t="shared" si="36"/>
        <v>7</v>
      </c>
      <c r="HQ6" s="52">
        <f t="shared" si="36"/>
        <v>7</v>
      </c>
      <c r="HR6" s="52">
        <f t="shared" si="36"/>
        <v>7</v>
      </c>
      <c r="HS6" s="52">
        <f t="shared" si="36"/>
        <v>7</v>
      </c>
      <c r="HT6" s="52">
        <f t="shared" si="36"/>
        <v>7</v>
      </c>
      <c r="HU6" s="52">
        <f t="shared" si="36"/>
        <v>7</v>
      </c>
      <c r="HV6" s="52">
        <f t="shared" si="36"/>
        <v>7</v>
      </c>
      <c r="HW6" s="52">
        <f t="shared" si="36"/>
        <v>7</v>
      </c>
      <c r="HX6" s="52">
        <f t="shared" si="36"/>
        <v>7</v>
      </c>
      <c r="HY6" s="52">
        <f t="shared" si="36"/>
        <v>7</v>
      </c>
      <c r="HZ6" s="52">
        <f t="shared" si="36"/>
        <v>7</v>
      </c>
      <c r="IA6" s="52">
        <f t="shared" si="36"/>
        <v>7</v>
      </c>
      <c r="IB6" s="52">
        <f t="shared" si="36"/>
        <v>8</v>
      </c>
      <c r="IC6" s="52">
        <f t="shared" si="36"/>
        <v>8</v>
      </c>
      <c r="ID6" s="52">
        <f t="shared" si="36"/>
        <v>8</v>
      </c>
      <c r="IE6" s="52">
        <f t="shared" si="36"/>
        <v>8</v>
      </c>
      <c r="IF6" s="52">
        <f t="shared" si="36"/>
        <v>8</v>
      </c>
      <c r="IG6" s="52">
        <f t="shared" ref="IG6:KR6" si="37">MONTH(IG7)</f>
        <v>8</v>
      </c>
      <c r="IH6" s="52">
        <f t="shared" si="37"/>
        <v>8</v>
      </c>
      <c r="II6" s="52">
        <f t="shared" si="37"/>
        <v>8</v>
      </c>
      <c r="IJ6" s="52">
        <f t="shared" si="37"/>
        <v>8</v>
      </c>
      <c r="IK6" s="52">
        <f t="shared" si="37"/>
        <v>8</v>
      </c>
      <c r="IL6" s="52">
        <f t="shared" si="37"/>
        <v>8</v>
      </c>
      <c r="IM6" s="52">
        <f t="shared" si="37"/>
        <v>8</v>
      </c>
      <c r="IN6" s="52">
        <f t="shared" si="37"/>
        <v>8</v>
      </c>
      <c r="IO6" s="52">
        <f t="shared" si="37"/>
        <v>8</v>
      </c>
      <c r="IP6" s="52">
        <f t="shared" si="37"/>
        <v>8</v>
      </c>
      <c r="IQ6" s="52">
        <f t="shared" si="37"/>
        <v>8</v>
      </c>
      <c r="IR6" s="52">
        <f t="shared" si="37"/>
        <v>8</v>
      </c>
      <c r="IS6" s="52">
        <f t="shared" si="37"/>
        <v>8</v>
      </c>
      <c r="IT6" s="52">
        <f t="shared" si="37"/>
        <v>8</v>
      </c>
      <c r="IU6" s="52">
        <f t="shared" si="37"/>
        <v>8</v>
      </c>
      <c r="IV6" s="52">
        <f t="shared" si="37"/>
        <v>8</v>
      </c>
      <c r="IW6" s="52">
        <f t="shared" si="37"/>
        <v>8</v>
      </c>
      <c r="IX6" s="52">
        <f t="shared" si="37"/>
        <v>8</v>
      </c>
      <c r="IY6" s="52">
        <f t="shared" si="37"/>
        <v>8</v>
      </c>
      <c r="IZ6" s="52">
        <f t="shared" si="37"/>
        <v>8</v>
      </c>
      <c r="JA6" s="52">
        <f t="shared" si="37"/>
        <v>8</v>
      </c>
      <c r="JB6" s="52">
        <f t="shared" si="37"/>
        <v>8</v>
      </c>
      <c r="JC6" s="52">
        <f t="shared" si="37"/>
        <v>8</v>
      </c>
      <c r="JD6" s="52">
        <f t="shared" si="37"/>
        <v>8</v>
      </c>
      <c r="JE6" s="52">
        <f t="shared" si="37"/>
        <v>8</v>
      </c>
      <c r="JF6" s="52">
        <f t="shared" si="37"/>
        <v>8</v>
      </c>
      <c r="JG6" s="52">
        <f t="shared" si="37"/>
        <v>9</v>
      </c>
      <c r="JH6" s="52">
        <f t="shared" si="37"/>
        <v>9</v>
      </c>
      <c r="JI6" s="52">
        <f t="shared" si="37"/>
        <v>9</v>
      </c>
      <c r="JJ6" s="52">
        <f t="shared" si="37"/>
        <v>9</v>
      </c>
      <c r="JK6" s="52">
        <f t="shared" si="37"/>
        <v>9</v>
      </c>
      <c r="JL6" s="52">
        <f t="shared" si="37"/>
        <v>9</v>
      </c>
      <c r="JM6" s="52">
        <f t="shared" si="37"/>
        <v>9</v>
      </c>
      <c r="JN6" s="52">
        <f t="shared" si="37"/>
        <v>9</v>
      </c>
      <c r="JO6" s="52">
        <f t="shared" si="37"/>
        <v>9</v>
      </c>
      <c r="JP6" s="52">
        <f t="shared" si="37"/>
        <v>9</v>
      </c>
      <c r="JQ6" s="52">
        <f t="shared" si="37"/>
        <v>9</v>
      </c>
      <c r="JR6" s="52">
        <f t="shared" si="37"/>
        <v>9</v>
      </c>
      <c r="JS6" s="52">
        <f t="shared" si="37"/>
        <v>9</v>
      </c>
      <c r="JT6" s="52">
        <f t="shared" si="37"/>
        <v>9</v>
      </c>
      <c r="JU6" s="52">
        <f t="shared" si="37"/>
        <v>9</v>
      </c>
      <c r="JV6" s="52">
        <f t="shared" si="37"/>
        <v>9</v>
      </c>
      <c r="JW6" s="52">
        <f t="shared" si="37"/>
        <v>9</v>
      </c>
      <c r="JX6" s="52">
        <f t="shared" si="37"/>
        <v>9</v>
      </c>
      <c r="JY6" s="52">
        <f t="shared" si="37"/>
        <v>9</v>
      </c>
      <c r="JZ6" s="52">
        <f t="shared" si="37"/>
        <v>9</v>
      </c>
      <c r="KA6" s="52">
        <f t="shared" si="37"/>
        <v>9</v>
      </c>
      <c r="KB6" s="52">
        <f t="shared" si="37"/>
        <v>9</v>
      </c>
      <c r="KC6" s="52">
        <f t="shared" si="37"/>
        <v>9</v>
      </c>
      <c r="KD6" s="52">
        <f t="shared" si="37"/>
        <v>9</v>
      </c>
      <c r="KE6" s="52">
        <f t="shared" si="37"/>
        <v>9</v>
      </c>
      <c r="KF6" s="52">
        <f t="shared" si="37"/>
        <v>9</v>
      </c>
      <c r="KG6" s="52">
        <f t="shared" si="37"/>
        <v>9</v>
      </c>
      <c r="KH6" s="52">
        <f t="shared" si="37"/>
        <v>9</v>
      </c>
      <c r="KI6" s="52">
        <f t="shared" si="37"/>
        <v>9</v>
      </c>
      <c r="KJ6" s="52">
        <f t="shared" si="37"/>
        <v>9</v>
      </c>
      <c r="KK6" s="52">
        <f t="shared" si="37"/>
        <v>10</v>
      </c>
      <c r="KL6" s="52">
        <f t="shared" si="37"/>
        <v>10</v>
      </c>
      <c r="KM6" s="52">
        <f t="shared" si="37"/>
        <v>10</v>
      </c>
      <c r="KN6" s="52">
        <f t="shared" si="37"/>
        <v>10</v>
      </c>
      <c r="KO6" s="52">
        <f t="shared" si="37"/>
        <v>10</v>
      </c>
      <c r="KP6" s="52">
        <f t="shared" si="37"/>
        <v>10</v>
      </c>
      <c r="KQ6" s="52">
        <f t="shared" si="37"/>
        <v>10</v>
      </c>
      <c r="KR6" s="52">
        <f t="shared" si="37"/>
        <v>10</v>
      </c>
      <c r="KS6" s="52">
        <f t="shared" ref="KS6:ND6" si="38">MONTH(KS7)</f>
        <v>10</v>
      </c>
      <c r="KT6" s="52">
        <f t="shared" si="38"/>
        <v>10</v>
      </c>
      <c r="KU6" s="52">
        <f t="shared" si="38"/>
        <v>10</v>
      </c>
      <c r="KV6" s="52">
        <f t="shared" si="38"/>
        <v>10</v>
      </c>
      <c r="KW6" s="52">
        <f t="shared" si="38"/>
        <v>10</v>
      </c>
      <c r="KX6" s="52">
        <f t="shared" si="38"/>
        <v>10</v>
      </c>
      <c r="KY6" s="52">
        <f t="shared" si="38"/>
        <v>10</v>
      </c>
      <c r="KZ6" s="52">
        <f t="shared" si="38"/>
        <v>10</v>
      </c>
      <c r="LA6" s="52">
        <f t="shared" si="38"/>
        <v>10</v>
      </c>
      <c r="LB6" s="52">
        <f t="shared" si="38"/>
        <v>10</v>
      </c>
      <c r="LC6" s="52">
        <f t="shared" si="38"/>
        <v>10</v>
      </c>
      <c r="LD6" s="52">
        <f t="shared" si="38"/>
        <v>10</v>
      </c>
      <c r="LE6" s="52">
        <f t="shared" si="38"/>
        <v>10</v>
      </c>
      <c r="LF6" s="52">
        <f t="shared" si="38"/>
        <v>10</v>
      </c>
      <c r="LG6" s="52">
        <f t="shared" si="38"/>
        <v>10</v>
      </c>
      <c r="LH6" s="52">
        <f t="shared" si="38"/>
        <v>10</v>
      </c>
      <c r="LI6" s="52">
        <f t="shared" si="38"/>
        <v>10</v>
      </c>
      <c r="LJ6" s="52">
        <f t="shared" si="38"/>
        <v>10</v>
      </c>
      <c r="LK6" s="52">
        <f t="shared" si="38"/>
        <v>10</v>
      </c>
      <c r="LL6" s="52">
        <f t="shared" si="38"/>
        <v>10</v>
      </c>
      <c r="LM6" s="52">
        <f t="shared" si="38"/>
        <v>10</v>
      </c>
      <c r="LN6" s="52">
        <f t="shared" si="38"/>
        <v>10</v>
      </c>
      <c r="LO6" s="52">
        <f t="shared" si="38"/>
        <v>10</v>
      </c>
      <c r="LP6" s="52">
        <f t="shared" si="38"/>
        <v>11</v>
      </c>
      <c r="LQ6" s="52">
        <f t="shared" si="38"/>
        <v>11</v>
      </c>
      <c r="LR6" s="52">
        <f t="shared" si="38"/>
        <v>11</v>
      </c>
      <c r="LS6" s="52">
        <f t="shared" si="38"/>
        <v>11</v>
      </c>
      <c r="LT6" s="52">
        <f t="shared" si="38"/>
        <v>11</v>
      </c>
      <c r="LU6" s="52">
        <f t="shared" si="38"/>
        <v>11</v>
      </c>
      <c r="LV6" s="52">
        <f t="shared" si="38"/>
        <v>11</v>
      </c>
      <c r="LW6" s="52">
        <f t="shared" si="38"/>
        <v>11</v>
      </c>
      <c r="LX6" s="52">
        <f t="shared" si="38"/>
        <v>11</v>
      </c>
      <c r="LY6" s="52">
        <f t="shared" si="38"/>
        <v>11</v>
      </c>
      <c r="LZ6" s="52">
        <f t="shared" si="38"/>
        <v>11</v>
      </c>
      <c r="MA6" s="52">
        <f t="shared" si="38"/>
        <v>11</v>
      </c>
      <c r="MB6" s="52">
        <f t="shared" si="38"/>
        <v>11</v>
      </c>
      <c r="MC6" s="52">
        <f t="shared" si="38"/>
        <v>11</v>
      </c>
      <c r="MD6" s="52">
        <f t="shared" si="38"/>
        <v>11</v>
      </c>
      <c r="ME6" s="52">
        <f t="shared" si="38"/>
        <v>11</v>
      </c>
      <c r="MF6" s="52">
        <f t="shared" si="38"/>
        <v>11</v>
      </c>
      <c r="MG6" s="52">
        <f t="shared" si="38"/>
        <v>11</v>
      </c>
      <c r="MH6" s="52">
        <f t="shared" si="38"/>
        <v>11</v>
      </c>
      <c r="MI6" s="52">
        <f t="shared" si="38"/>
        <v>11</v>
      </c>
      <c r="MJ6" s="52">
        <f t="shared" si="38"/>
        <v>11</v>
      </c>
      <c r="MK6" s="52">
        <f t="shared" si="38"/>
        <v>11</v>
      </c>
      <c r="ML6" s="52">
        <f t="shared" si="38"/>
        <v>11</v>
      </c>
      <c r="MM6" s="52">
        <f t="shared" si="38"/>
        <v>11</v>
      </c>
      <c r="MN6" s="52">
        <f t="shared" si="38"/>
        <v>11</v>
      </c>
      <c r="MO6" s="52">
        <f t="shared" si="38"/>
        <v>11</v>
      </c>
      <c r="MP6" s="52">
        <f t="shared" si="38"/>
        <v>11</v>
      </c>
      <c r="MQ6" s="52">
        <f t="shared" si="38"/>
        <v>11</v>
      </c>
      <c r="MR6" s="52">
        <f t="shared" si="38"/>
        <v>11</v>
      </c>
      <c r="MS6" s="52">
        <f t="shared" si="38"/>
        <v>11</v>
      </c>
      <c r="MT6" s="52">
        <f t="shared" si="38"/>
        <v>12</v>
      </c>
      <c r="MU6" s="52">
        <f t="shared" si="38"/>
        <v>12</v>
      </c>
      <c r="MV6" s="52">
        <f t="shared" si="38"/>
        <v>12</v>
      </c>
      <c r="MW6" s="52">
        <f t="shared" si="38"/>
        <v>12</v>
      </c>
      <c r="MX6" s="52">
        <f t="shared" si="38"/>
        <v>12</v>
      </c>
      <c r="MY6" s="52">
        <f t="shared" si="38"/>
        <v>12</v>
      </c>
      <c r="MZ6" s="52">
        <f t="shared" si="38"/>
        <v>12</v>
      </c>
      <c r="NA6" s="52">
        <f t="shared" si="38"/>
        <v>12</v>
      </c>
      <c r="NB6" s="52">
        <f t="shared" si="38"/>
        <v>12</v>
      </c>
      <c r="NC6" s="52">
        <f t="shared" si="38"/>
        <v>12</v>
      </c>
      <c r="ND6" s="52">
        <f t="shared" si="38"/>
        <v>12</v>
      </c>
      <c r="NE6" s="52">
        <f t="shared" ref="NE6:NX6" si="39">MONTH(NE7)</f>
        <v>12</v>
      </c>
      <c r="NF6" s="52">
        <f t="shared" si="39"/>
        <v>12</v>
      </c>
      <c r="NG6" s="52">
        <f t="shared" si="39"/>
        <v>12</v>
      </c>
      <c r="NH6" s="52">
        <f t="shared" si="39"/>
        <v>12</v>
      </c>
      <c r="NI6" s="52">
        <f t="shared" si="39"/>
        <v>12</v>
      </c>
      <c r="NJ6" s="52">
        <f t="shared" si="39"/>
        <v>12</v>
      </c>
      <c r="NK6" s="52">
        <f t="shared" si="39"/>
        <v>12</v>
      </c>
      <c r="NL6" s="52">
        <f t="shared" si="39"/>
        <v>12</v>
      </c>
      <c r="NM6" s="52">
        <f t="shared" si="39"/>
        <v>12</v>
      </c>
      <c r="NN6" s="52">
        <f t="shared" si="39"/>
        <v>12</v>
      </c>
      <c r="NO6" s="52">
        <f t="shared" si="39"/>
        <v>12</v>
      </c>
      <c r="NP6" s="52">
        <f t="shared" si="39"/>
        <v>12</v>
      </c>
      <c r="NQ6" s="52">
        <f t="shared" si="39"/>
        <v>12</v>
      </c>
      <c r="NR6" s="52">
        <f t="shared" si="39"/>
        <v>12</v>
      </c>
      <c r="NS6" s="52">
        <f t="shared" si="39"/>
        <v>12</v>
      </c>
      <c r="NT6" s="52">
        <f t="shared" si="39"/>
        <v>12</v>
      </c>
      <c r="NU6" s="52">
        <f t="shared" si="39"/>
        <v>12</v>
      </c>
      <c r="NV6" s="52">
        <f t="shared" si="39"/>
        <v>12</v>
      </c>
      <c r="NW6" s="52">
        <f t="shared" si="39"/>
        <v>12</v>
      </c>
      <c r="NX6" s="52">
        <f t="shared" si="39"/>
        <v>12</v>
      </c>
    </row>
    <row r="7" spans="1:395" s="39" customFormat="1" ht="48.75" customHeight="1" x14ac:dyDescent="0.25">
      <c r="A7" s="19" t="s">
        <v>9</v>
      </c>
      <c r="B7" s="20" t="s">
        <v>8</v>
      </c>
      <c r="C7" s="20" t="s">
        <v>7</v>
      </c>
      <c r="D7" s="20" t="s">
        <v>6</v>
      </c>
      <c r="E7" s="21" t="s">
        <v>397</v>
      </c>
      <c r="F7" s="22" t="s">
        <v>398</v>
      </c>
      <c r="G7" s="21" t="s">
        <v>17</v>
      </c>
      <c r="H7" s="22" t="s">
        <v>394</v>
      </c>
      <c r="I7" s="21" t="s">
        <v>395</v>
      </c>
      <c r="J7" s="22" t="s">
        <v>396</v>
      </c>
      <c r="K7" s="23" t="s">
        <v>13</v>
      </c>
      <c r="L7" s="8" t="s">
        <v>0</v>
      </c>
      <c r="M7" s="8" t="s">
        <v>1</v>
      </c>
      <c r="N7" s="8" t="s">
        <v>18</v>
      </c>
      <c r="O7" s="8" t="s">
        <v>19</v>
      </c>
      <c r="P7" s="8" t="s">
        <v>20</v>
      </c>
      <c r="Q7" s="8" t="s">
        <v>21</v>
      </c>
      <c r="R7" s="8" t="s">
        <v>22</v>
      </c>
      <c r="S7" s="8" t="s">
        <v>23</v>
      </c>
      <c r="T7" s="8" t="s">
        <v>24</v>
      </c>
      <c r="U7" s="8" t="s">
        <v>25</v>
      </c>
      <c r="V7" s="8" t="s">
        <v>26</v>
      </c>
      <c r="W7" s="8" t="s">
        <v>27</v>
      </c>
      <c r="X7" s="42" t="s">
        <v>28</v>
      </c>
      <c r="Y7" s="43" t="s">
        <v>29</v>
      </c>
      <c r="Z7" s="43" t="s">
        <v>30</v>
      </c>
      <c r="AA7" s="43" t="s">
        <v>31</v>
      </c>
      <c r="AB7" s="43" t="s">
        <v>32</v>
      </c>
      <c r="AC7" s="37" t="s">
        <v>33</v>
      </c>
      <c r="AD7" s="37" t="s">
        <v>34</v>
      </c>
      <c r="AE7" s="37" t="s">
        <v>35</v>
      </c>
      <c r="AF7" s="37" t="s">
        <v>36</v>
      </c>
      <c r="AG7" s="37" t="s">
        <v>37</v>
      </c>
      <c r="AH7" s="37" t="s">
        <v>38</v>
      </c>
      <c r="AI7" s="37" t="s">
        <v>39</v>
      </c>
      <c r="AJ7" s="37" t="s">
        <v>40</v>
      </c>
      <c r="AK7" s="37" t="s">
        <v>41</v>
      </c>
      <c r="AL7" s="37" t="s">
        <v>42</v>
      </c>
      <c r="AM7" s="37" t="s">
        <v>43</v>
      </c>
      <c r="AN7" s="37" t="s">
        <v>44</v>
      </c>
      <c r="AO7" s="37" t="s">
        <v>45</v>
      </c>
      <c r="AP7" s="37" t="s">
        <v>46</v>
      </c>
      <c r="AQ7" s="37" t="s">
        <v>47</v>
      </c>
      <c r="AR7" s="37" t="s">
        <v>48</v>
      </c>
      <c r="AS7" s="37" t="s">
        <v>49</v>
      </c>
      <c r="AT7" s="37" t="s">
        <v>50</v>
      </c>
      <c r="AU7" s="37" t="s">
        <v>51</v>
      </c>
      <c r="AV7" s="37" t="s">
        <v>52</v>
      </c>
      <c r="AW7" s="37" t="s">
        <v>53</v>
      </c>
      <c r="AX7" s="37" t="s">
        <v>54</v>
      </c>
      <c r="AY7" s="37" t="s">
        <v>55</v>
      </c>
      <c r="AZ7" s="37" t="s">
        <v>56</v>
      </c>
      <c r="BA7" s="37" t="s">
        <v>57</v>
      </c>
      <c r="BB7" s="37" t="s">
        <v>58</v>
      </c>
      <c r="BC7" s="37" t="s">
        <v>59</v>
      </c>
      <c r="BD7" s="37" t="s">
        <v>60</v>
      </c>
      <c r="BE7" s="37" t="s">
        <v>61</v>
      </c>
      <c r="BF7" s="37" t="s">
        <v>62</v>
      </c>
      <c r="BG7" s="37" t="s">
        <v>63</v>
      </c>
      <c r="BH7" s="37" t="s">
        <v>64</v>
      </c>
      <c r="BI7" s="37" t="s">
        <v>65</v>
      </c>
      <c r="BJ7" s="37" t="s">
        <v>66</v>
      </c>
      <c r="BK7" s="37" t="s">
        <v>67</v>
      </c>
      <c r="BL7" s="37" t="s">
        <v>68</v>
      </c>
      <c r="BM7" s="37" t="s">
        <v>69</v>
      </c>
      <c r="BN7" s="37" t="s">
        <v>70</v>
      </c>
      <c r="BO7" s="37" t="s">
        <v>71</v>
      </c>
      <c r="BP7" s="37" t="s">
        <v>72</v>
      </c>
      <c r="BQ7" s="37" t="s">
        <v>73</v>
      </c>
      <c r="BR7" s="37" t="s">
        <v>74</v>
      </c>
      <c r="BS7" s="37" t="s">
        <v>75</v>
      </c>
      <c r="BT7" s="37" t="s">
        <v>76</v>
      </c>
      <c r="BU7" s="37" t="s">
        <v>77</v>
      </c>
      <c r="BV7" s="37" t="s">
        <v>78</v>
      </c>
      <c r="BW7" s="37" t="s">
        <v>79</v>
      </c>
      <c r="BX7" s="37" t="s">
        <v>80</v>
      </c>
      <c r="BY7" s="37" t="s">
        <v>81</v>
      </c>
      <c r="BZ7" s="37" t="s">
        <v>82</v>
      </c>
      <c r="CA7" s="37" t="s">
        <v>83</v>
      </c>
      <c r="CB7" s="37" t="s">
        <v>84</v>
      </c>
      <c r="CC7" s="37" t="s">
        <v>85</v>
      </c>
      <c r="CD7" s="37" t="s">
        <v>86</v>
      </c>
      <c r="CE7" s="37" t="s">
        <v>87</v>
      </c>
      <c r="CF7" s="37" t="s">
        <v>88</v>
      </c>
      <c r="CG7" s="37" t="s">
        <v>89</v>
      </c>
      <c r="CH7" s="37" t="s">
        <v>90</v>
      </c>
      <c r="CI7" s="37" t="s">
        <v>91</v>
      </c>
      <c r="CJ7" s="37" t="s">
        <v>92</v>
      </c>
      <c r="CK7" s="37" t="s">
        <v>93</v>
      </c>
      <c r="CL7" s="37" t="s">
        <v>94</v>
      </c>
      <c r="CM7" s="37" t="s">
        <v>95</v>
      </c>
      <c r="CN7" s="37" t="s">
        <v>96</v>
      </c>
      <c r="CO7" s="37" t="s">
        <v>97</v>
      </c>
      <c r="CP7" s="37" t="s">
        <v>98</v>
      </c>
      <c r="CQ7" s="37" t="s">
        <v>99</v>
      </c>
      <c r="CR7" s="37" t="s">
        <v>100</v>
      </c>
      <c r="CS7" s="37" t="s">
        <v>101</v>
      </c>
      <c r="CT7" s="37" t="s">
        <v>102</v>
      </c>
      <c r="CU7" s="37" t="s">
        <v>103</v>
      </c>
      <c r="CV7" s="37" t="s">
        <v>104</v>
      </c>
      <c r="CW7" s="37" t="s">
        <v>105</v>
      </c>
      <c r="CX7" s="37" t="s">
        <v>106</v>
      </c>
      <c r="CY7" s="37" t="s">
        <v>107</v>
      </c>
      <c r="CZ7" s="37" t="s">
        <v>108</v>
      </c>
      <c r="DA7" s="37" t="s">
        <v>109</v>
      </c>
      <c r="DB7" s="37" t="s">
        <v>110</v>
      </c>
      <c r="DC7" s="37" t="s">
        <v>111</v>
      </c>
      <c r="DD7" s="37" t="s">
        <v>112</v>
      </c>
      <c r="DE7" s="37" t="s">
        <v>113</v>
      </c>
      <c r="DF7" s="37" t="s">
        <v>114</v>
      </c>
      <c r="DG7" s="37" t="s">
        <v>115</v>
      </c>
      <c r="DH7" s="37" t="s">
        <v>116</v>
      </c>
      <c r="DI7" s="37" t="s">
        <v>117</v>
      </c>
      <c r="DJ7" s="37" t="s">
        <v>118</v>
      </c>
      <c r="DK7" s="37" t="s">
        <v>119</v>
      </c>
      <c r="DL7" s="37" t="s">
        <v>120</v>
      </c>
      <c r="DM7" s="37" t="s">
        <v>121</v>
      </c>
      <c r="DN7" s="37" t="s">
        <v>122</v>
      </c>
      <c r="DO7" s="37" t="s">
        <v>123</v>
      </c>
      <c r="DP7" s="37" t="s">
        <v>124</v>
      </c>
      <c r="DQ7" s="37" t="s">
        <v>125</v>
      </c>
      <c r="DR7" s="37" t="s">
        <v>126</v>
      </c>
      <c r="DS7" s="37" t="s">
        <v>127</v>
      </c>
      <c r="DT7" s="37" t="s">
        <v>128</v>
      </c>
      <c r="DU7" s="37" t="s">
        <v>129</v>
      </c>
      <c r="DV7" s="37" t="s">
        <v>130</v>
      </c>
      <c r="DW7" s="37" t="s">
        <v>131</v>
      </c>
      <c r="DX7" s="37" t="s">
        <v>132</v>
      </c>
      <c r="DY7" s="37" t="s">
        <v>133</v>
      </c>
      <c r="DZ7" s="37" t="s">
        <v>134</v>
      </c>
      <c r="EA7" s="37" t="s">
        <v>135</v>
      </c>
      <c r="EB7" s="37" t="s">
        <v>136</v>
      </c>
      <c r="EC7" s="37" t="s">
        <v>137</v>
      </c>
      <c r="ED7" s="37" t="s">
        <v>138</v>
      </c>
      <c r="EE7" s="37" t="s">
        <v>139</v>
      </c>
      <c r="EF7" s="37" t="s">
        <v>140</v>
      </c>
      <c r="EG7" s="37" t="s">
        <v>141</v>
      </c>
      <c r="EH7" s="37" t="s">
        <v>142</v>
      </c>
      <c r="EI7" s="37" t="s">
        <v>143</v>
      </c>
      <c r="EJ7" s="37" t="s">
        <v>144</v>
      </c>
      <c r="EK7" s="37" t="s">
        <v>145</v>
      </c>
      <c r="EL7" s="37" t="s">
        <v>146</v>
      </c>
      <c r="EM7" s="37" t="s">
        <v>147</v>
      </c>
      <c r="EN7" s="37" t="s">
        <v>148</v>
      </c>
      <c r="EO7" s="37" t="s">
        <v>149</v>
      </c>
      <c r="EP7" s="37" t="s">
        <v>150</v>
      </c>
      <c r="EQ7" s="37" t="s">
        <v>151</v>
      </c>
      <c r="ER7" s="37" t="s">
        <v>152</v>
      </c>
      <c r="ES7" s="37" t="s">
        <v>153</v>
      </c>
      <c r="ET7" s="37" t="s">
        <v>154</v>
      </c>
      <c r="EU7" s="37" t="s">
        <v>155</v>
      </c>
      <c r="EV7" s="37" t="s">
        <v>156</v>
      </c>
      <c r="EW7" s="37" t="s">
        <v>157</v>
      </c>
      <c r="EX7" s="37" t="s">
        <v>158</v>
      </c>
      <c r="EY7" s="37" t="s">
        <v>159</v>
      </c>
      <c r="EZ7" s="37" t="s">
        <v>160</v>
      </c>
      <c r="FA7" s="37" t="s">
        <v>161</v>
      </c>
      <c r="FB7" s="37" t="s">
        <v>162</v>
      </c>
      <c r="FC7" s="37" t="s">
        <v>163</v>
      </c>
      <c r="FD7" s="37" t="s">
        <v>164</v>
      </c>
      <c r="FE7" s="37" t="s">
        <v>165</v>
      </c>
      <c r="FF7" s="37" t="s">
        <v>166</v>
      </c>
      <c r="FG7" s="37" t="s">
        <v>167</v>
      </c>
      <c r="FH7" s="37" t="s">
        <v>168</v>
      </c>
      <c r="FI7" s="37" t="s">
        <v>169</v>
      </c>
      <c r="FJ7" s="37" t="s">
        <v>170</v>
      </c>
      <c r="FK7" s="37" t="s">
        <v>171</v>
      </c>
      <c r="FL7" s="37" t="s">
        <v>172</v>
      </c>
      <c r="FM7" s="37" t="s">
        <v>173</v>
      </c>
      <c r="FN7" s="37" t="s">
        <v>174</v>
      </c>
      <c r="FO7" s="37" t="s">
        <v>175</v>
      </c>
      <c r="FP7" s="37" t="s">
        <v>176</v>
      </c>
      <c r="FQ7" s="37" t="s">
        <v>177</v>
      </c>
      <c r="FR7" s="37" t="s">
        <v>178</v>
      </c>
      <c r="FS7" s="37" t="s">
        <v>179</v>
      </c>
      <c r="FT7" s="37" t="s">
        <v>180</v>
      </c>
      <c r="FU7" s="37" t="s">
        <v>181</v>
      </c>
      <c r="FV7" s="37" t="s">
        <v>182</v>
      </c>
      <c r="FW7" s="37" t="s">
        <v>183</v>
      </c>
      <c r="FX7" s="37" t="s">
        <v>184</v>
      </c>
      <c r="FY7" s="37" t="s">
        <v>185</v>
      </c>
      <c r="FZ7" s="37" t="s">
        <v>186</v>
      </c>
      <c r="GA7" s="37" t="s">
        <v>187</v>
      </c>
      <c r="GB7" s="37" t="s">
        <v>188</v>
      </c>
      <c r="GC7" s="37" t="s">
        <v>189</v>
      </c>
      <c r="GD7" s="37" t="s">
        <v>190</v>
      </c>
      <c r="GE7" s="37" t="s">
        <v>191</v>
      </c>
      <c r="GF7" s="37" t="s">
        <v>192</v>
      </c>
      <c r="GG7" s="37" t="s">
        <v>193</v>
      </c>
      <c r="GH7" s="37" t="s">
        <v>194</v>
      </c>
      <c r="GI7" s="37" t="s">
        <v>195</v>
      </c>
      <c r="GJ7" s="37" t="s">
        <v>196</v>
      </c>
      <c r="GK7" s="37" t="s">
        <v>197</v>
      </c>
      <c r="GL7" s="37" t="s">
        <v>198</v>
      </c>
      <c r="GM7" s="37" t="s">
        <v>199</v>
      </c>
      <c r="GN7" s="37" t="s">
        <v>200</v>
      </c>
      <c r="GO7" s="37" t="s">
        <v>201</v>
      </c>
      <c r="GP7" s="37" t="s">
        <v>202</v>
      </c>
      <c r="GQ7" s="37" t="s">
        <v>203</v>
      </c>
      <c r="GR7" s="37" t="s">
        <v>204</v>
      </c>
      <c r="GS7" s="37" t="s">
        <v>205</v>
      </c>
      <c r="GT7" s="37" t="s">
        <v>206</v>
      </c>
      <c r="GU7" s="37" t="s">
        <v>207</v>
      </c>
      <c r="GV7" s="37" t="s">
        <v>208</v>
      </c>
      <c r="GW7" s="37" t="s">
        <v>209</v>
      </c>
      <c r="GX7" s="37" t="s">
        <v>210</v>
      </c>
      <c r="GY7" s="37" t="s">
        <v>211</v>
      </c>
      <c r="GZ7" s="37" t="s">
        <v>212</v>
      </c>
      <c r="HA7" s="37" t="s">
        <v>213</v>
      </c>
      <c r="HB7" s="37" t="s">
        <v>214</v>
      </c>
      <c r="HC7" s="37" t="s">
        <v>215</v>
      </c>
      <c r="HD7" s="37" t="s">
        <v>216</v>
      </c>
      <c r="HE7" s="37" t="s">
        <v>217</v>
      </c>
      <c r="HF7" s="37" t="s">
        <v>218</v>
      </c>
      <c r="HG7" s="37" t="s">
        <v>219</v>
      </c>
      <c r="HH7" s="37" t="s">
        <v>220</v>
      </c>
      <c r="HI7" s="37" t="s">
        <v>221</v>
      </c>
      <c r="HJ7" s="37" t="s">
        <v>222</v>
      </c>
      <c r="HK7" s="37" t="s">
        <v>223</v>
      </c>
      <c r="HL7" s="37" t="s">
        <v>224</v>
      </c>
      <c r="HM7" s="37" t="s">
        <v>225</v>
      </c>
      <c r="HN7" s="37" t="s">
        <v>226</v>
      </c>
      <c r="HO7" s="37" t="s">
        <v>227</v>
      </c>
      <c r="HP7" s="37" t="s">
        <v>228</v>
      </c>
      <c r="HQ7" s="37" t="s">
        <v>229</v>
      </c>
      <c r="HR7" s="37" t="s">
        <v>230</v>
      </c>
      <c r="HS7" s="37" t="s">
        <v>231</v>
      </c>
      <c r="HT7" s="37" t="s">
        <v>232</v>
      </c>
      <c r="HU7" s="37" t="s">
        <v>233</v>
      </c>
      <c r="HV7" s="37" t="s">
        <v>234</v>
      </c>
      <c r="HW7" s="37" t="s">
        <v>235</v>
      </c>
      <c r="HX7" s="37" t="s">
        <v>236</v>
      </c>
      <c r="HY7" s="37" t="s">
        <v>237</v>
      </c>
      <c r="HZ7" s="37" t="s">
        <v>238</v>
      </c>
      <c r="IA7" s="37" t="s">
        <v>239</v>
      </c>
      <c r="IB7" s="37" t="s">
        <v>240</v>
      </c>
      <c r="IC7" s="37" t="s">
        <v>241</v>
      </c>
      <c r="ID7" s="37" t="s">
        <v>242</v>
      </c>
      <c r="IE7" s="37" t="s">
        <v>243</v>
      </c>
      <c r="IF7" s="37" t="s">
        <v>244</v>
      </c>
      <c r="IG7" s="37" t="s">
        <v>245</v>
      </c>
      <c r="IH7" s="37" t="s">
        <v>246</v>
      </c>
      <c r="II7" s="37" t="s">
        <v>247</v>
      </c>
      <c r="IJ7" s="37" t="s">
        <v>248</v>
      </c>
      <c r="IK7" s="37" t="s">
        <v>249</v>
      </c>
      <c r="IL7" s="37" t="s">
        <v>250</v>
      </c>
      <c r="IM7" s="37" t="s">
        <v>251</v>
      </c>
      <c r="IN7" s="37" t="s">
        <v>252</v>
      </c>
      <c r="IO7" s="37" t="s">
        <v>253</v>
      </c>
      <c r="IP7" s="37" t="s">
        <v>254</v>
      </c>
      <c r="IQ7" s="37" t="s">
        <v>255</v>
      </c>
      <c r="IR7" s="37" t="s">
        <v>256</v>
      </c>
      <c r="IS7" s="37" t="s">
        <v>257</v>
      </c>
      <c r="IT7" s="37" t="s">
        <v>258</v>
      </c>
      <c r="IU7" s="37" t="s">
        <v>259</v>
      </c>
      <c r="IV7" s="37" t="s">
        <v>260</v>
      </c>
      <c r="IW7" s="37" t="s">
        <v>261</v>
      </c>
      <c r="IX7" s="37" t="s">
        <v>262</v>
      </c>
      <c r="IY7" s="37" t="s">
        <v>263</v>
      </c>
      <c r="IZ7" s="37" t="s">
        <v>264</v>
      </c>
      <c r="JA7" s="37" t="s">
        <v>265</v>
      </c>
      <c r="JB7" s="37" t="s">
        <v>266</v>
      </c>
      <c r="JC7" s="37" t="s">
        <v>267</v>
      </c>
      <c r="JD7" s="37" t="s">
        <v>268</v>
      </c>
      <c r="JE7" s="37" t="s">
        <v>269</v>
      </c>
      <c r="JF7" s="37" t="s">
        <v>270</v>
      </c>
      <c r="JG7" s="37" t="s">
        <v>271</v>
      </c>
      <c r="JH7" s="37" t="s">
        <v>272</v>
      </c>
      <c r="JI7" s="37" t="s">
        <v>273</v>
      </c>
      <c r="JJ7" s="37" t="s">
        <v>274</v>
      </c>
      <c r="JK7" s="37" t="s">
        <v>275</v>
      </c>
      <c r="JL7" s="37" t="s">
        <v>276</v>
      </c>
      <c r="JM7" s="37" t="s">
        <v>277</v>
      </c>
      <c r="JN7" s="37" t="s">
        <v>278</v>
      </c>
      <c r="JO7" s="37" t="s">
        <v>279</v>
      </c>
      <c r="JP7" s="37" t="s">
        <v>280</v>
      </c>
      <c r="JQ7" s="37" t="s">
        <v>281</v>
      </c>
      <c r="JR7" s="37" t="s">
        <v>282</v>
      </c>
      <c r="JS7" s="37" t="s">
        <v>283</v>
      </c>
      <c r="JT7" s="37" t="s">
        <v>284</v>
      </c>
      <c r="JU7" s="37" t="s">
        <v>285</v>
      </c>
      <c r="JV7" s="37" t="s">
        <v>286</v>
      </c>
      <c r="JW7" s="37" t="s">
        <v>287</v>
      </c>
      <c r="JX7" s="37" t="s">
        <v>288</v>
      </c>
      <c r="JY7" s="37" t="s">
        <v>289</v>
      </c>
      <c r="JZ7" s="37" t="s">
        <v>290</v>
      </c>
      <c r="KA7" s="37" t="s">
        <v>291</v>
      </c>
      <c r="KB7" s="37" t="s">
        <v>292</v>
      </c>
      <c r="KC7" s="37" t="s">
        <v>293</v>
      </c>
      <c r="KD7" s="37" t="s">
        <v>294</v>
      </c>
      <c r="KE7" s="37" t="s">
        <v>295</v>
      </c>
      <c r="KF7" s="37" t="s">
        <v>296</v>
      </c>
      <c r="KG7" s="37" t="s">
        <v>297</v>
      </c>
      <c r="KH7" s="37" t="s">
        <v>298</v>
      </c>
      <c r="KI7" s="37" t="s">
        <v>299</v>
      </c>
      <c r="KJ7" s="37" t="s">
        <v>300</v>
      </c>
      <c r="KK7" s="37" t="s">
        <v>301</v>
      </c>
      <c r="KL7" s="37" t="s">
        <v>302</v>
      </c>
      <c r="KM7" s="37" t="s">
        <v>303</v>
      </c>
      <c r="KN7" s="37" t="s">
        <v>304</v>
      </c>
      <c r="KO7" s="37" t="s">
        <v>305</v>
      </c>
      <c r="KP7" s="37" t="s">
        <v>306</v>
      </c>
      <c r="KQ7" s="37" t="s">
        <v>307</v>
      </c>
      <c r="KR7" s="37" t="s">
        <v>308</v>
      </c>
      <c r="KS7" s="37" t="s">
        <v>309</v>
      </c>
      <c r="KT7" s="37" t="s">
        <v>310</v>
      </c>
      <c r="KU7" s="37" t="s">
        <v>311</v>
      </c>
      <c r="KV7" s="37" t="s">
        <v>312</v>
      </c>
      <c r="KW7" s="37" t="s">
        <v>313</v>
      </c>
      <c r="KX7" s="37" t="s">
        <v>314</v>
      </c>
      <c r="KY7" s="37" t="s">
        <v>315</v>
      </c>
      <c r="KZ7" s="37" t="s">
        <v>316</v>
      </c>
      <c r="LA7" s="37" t="s">
        <v>317</v>
      </c>
      <c r="LB7" s="37" t="s">
        <v>318</v>
      </c>
      <c r="LC7" s="37" t="s">
        <v>319</v>
      </c>
      <c r="LD7" s="37" t="s">
        <v>320</v>
      </c>
      <c r="LE7" s="37" t="s">
        <v>321</v>
      </c>
      <c r="LF7" s="37" t="s">
        <v>322</v>
      </c>
      <c r="LG7" s="37" t="s">
        <v>323</v>
      </c>
      <c r="LH7" s="37" t="s">
        <v>324</v>
      </c>
      <c r="LI7" s="37" t="s">
        <v>325</v>
      </c>
      <c r="LJ7" s="37" t="s">
        <v>326</v>
      </c>
      <c r="LK7" s="37" t="s">
        <v>327</v>
      </c>
      <c r="LL7" s="37" t="s">
        <v>328</v>
      </c>
      <c r="LM7" s="37" t="s">
        <v>329</v>
      </c>
      <c r="LN7" s="37" t="s">
        <v>330</v>
      </c>
      <c r="LO7" s="37" t="s">
        <v>331</v>
      </c>
      <c r="LP7" s="37" t="s">
        <v>332</v>
      </c>
      <c r="LQ7" s="37" t="s">
        <v>333</v>
      </c>
      <c r="LR7" s="37" t="s">
        <v>334</v>
      </c>
      <c r="LS7" s="37" t="s">
        <v>335</v>
      </c>
      <c r="LT7" s="37" t="s">
        <v>336</v>
      </c>
      <c r="LU7" s="37" t="s">
        <v>337</v>
      </c>
      <c r="LV7" s="37" t="s">
        <v>338</v>
      </c>
      <c r="LW7" s="37" t="s">
        <v>339</v>
      </c>
      <c r="LX7" s="37" t="s">
        <v>340</v>
      </c>
      <c r="LY7" s="37" t="s">
        <v>341</v>
      </c>
      <c r="LZ7" s="37" t="s">
        <v>342</v>
      </c>
      <c r="MA7" s="37" t="s">
        <v>343</v>
      </c>
      <c r="MB7" s="37" t="s">
        <v>344</v>
      </c>
      <c r="MC7" s="37" t="s">
        <v>345</v>
      </c>
      <c r="MD7" s="37" t="s">
        <v>346</v>
      </c>
      <c r="ME7" s="37" t="s">
        <v>347</v>
      </c>
      <c r="MF7" s="37" t="s">
        <v>348</v>
      </c>
      <c r="MG7" s="37" t="s">
        <v>349</v>
      </c>
      <c r="MH7" s="37" t="s">
        <v>350</v>
      </c>
      <c r="MI7" s="37" t="s">
        <v>351</v>
      </c>
      <c r="MJ7" s="37" t="s">
        <v>352</v>
      </c>
      <c r="MK7" s="37" t="s">
        <v>353</v>
      </c>
      <c r="ML7" s="37" t="s">
        <v>354</v>
      </c>
      <c r="MM7" s="37" t="s">
        <v>355</v>
      </c>
      <c r="MN7" s="37" t="s">
        <v>356</v>
      </c>
      <c r="MO7" s="37" t="s">
        <v>357</v>
      </c>
      <c r="MP7" s="37" t="s">
        <v>358</v>
      </c>
      <c r="MQ7" s="37" t="s">
        <v>359</v>
      </c>
      <c r="MR7" s="37" t="s">
        <v>360</v>
      </c>
      <c r="MS7" s="37" t="s">
        <v>361</v>
      </c>
      <c r="MT7" s="37" t="s">
        <v>362</v>
      </c>
      <c r="MU7" s="37" t="s">
        <v>363</v>
      </c>
      <c r="MV7" s="37" t="s">
        <v>364</v>
      </c>
      <c r="MW7" s="37" t="s">
        <v>365</v>
      </c>
      <c r="MX7" s="37" t="s">
        <v>366</v>
      </c>
      <c r="MY7" s="37" t="s">
        <v>367</v>
      </c>
      <c r="MZ7" s="37" t="s">
        <v>368</v>
      </c>
      <c r="NA7" s="37" t="s">
        <v>369</v>
      </c>
      <c r="NB7" s="37" t="s">
        <v>370</v>
      </c>
      <c r="NC7" s="37" t="s">
        <v>371</v>
      </c>
      <c r="ND7" s="37" t="s">
        <v>372</v>
      </c>
      <c r="NE7" s="37" t="s">
        <v>373</v>
      </c>
      <c r="NF7" s="37" t="s">
        <v>374</v>
      </c>
      <c r="NG7" s="37" t="s">
        <v>375</v>
      </c>
      <c r="NH7" s="37" t="s">
        <v>376</v>
      </c>
      <c r="NI7" s="37" t="s">
        <v>377</v>
      </c>
      <c r="NJ7" s="37" t="s">
        <v>378</v>
      </c>
      <c r="NK7" s="37" t="s">
        <v>379</v>
      </c>
      <c r="NL7" s="37" t="s">
        <v>380</v>
      </c>
      <c r="NM7" s="37" t="s">
        <v>381</v>
      </c>
      <c r="NN7" s="37" t="s">
        <v>382</v>
      </c>
      <c r="NO7" s="37" t="s">
        <v>383</v>
      </c>
      <c r="NP7" s="37" t="s">
        <v>384</v>
      </c>
      <c r="NQ7" s="37" t="s">
        <v>385</v>
      </c>
      <c r="NR7" s="37" t="s">
        <v>386</v>
      </c>
      <c r="NS7" s="37" t="s">
        <v>387</v>
      </c>
      <c r="NT7" s="37" t="s">
        <v>388</v>
      </c>
      <c r="NU7" s="37" t="s">
        <v>389</v>
      </c>
      <c r="NV7" s="37" t="s">
        <v>390</v>
      </c>
      <c r="NW7" s="37" t="s">
        <v>391</v>
      </c>
      <c r="NX7" s="38" t="s">
        <v>392</v>
      </c>
      <c r="NY7" s="37" t="s">
        <v>393</v>
      </c>
      <c r="NZ7" s="37" t="s">
        <v>769</v>
      </c>
      <c r="OA7" s="37" t="s">
        <v>770</v>
      </c>
      <c r="OB7" s="37" t="s">
        <v>771</v>
      </c>
      <c r="OC7" s="37" t="s">
        <v>772</v>
      </c>
      <c r="OD7" s="37" t="s">
        <v>773</v>
      </c>
      <c r="OE7" s="37" t="s">
        <v>774</v>
      </c>
    </row>
    <row r="8" spans="1:395" s="3" customFormat="1" x14ac:dyDescent="0.25">
      <c r="A8" s="17">
        <v>1</v>
      </c>
      <c r="B8" s="11" t="s">
        <v>807</v>
      </c>
      <c r="C8" s="11" t="s">
        <v>808</v>
      </c>
      <c r="D8" s="11" t="s">
        <v>10</v>
      </c>
      <c r="E8" s="12">
        <v>44609</v>
      </c>
      <c r="F8" s="11">
        <v>10</v>
      </c>
      <c r="G8" s="12">
        <v>44887</v>
      </c>
      <c r="H8" s="11">
        <v>6</v>
      </c>
      <c r="I8" s="12"/>
      <c r="J8" s="11"/>
      <c r="K8" s="13">
        <f>SUM(F8,H8,J8)</f>
        <v>16</v>
      </c>
      <c r="L8" s="14" t="str">
        <f t="shared" ref="L8:W18" ca="1" si="40">IF(SUMIF($X$6:$NX$6,MONTH(L$5),$X8:$DI8)/$NY8=0,"",SUMIF($X$6:$NX$6,MONTH(L$5),$X8:$NX8)/$NY8)</f>
        <v/>
      </c>
      <c r="M8" s="14">
        <f t="shared" ca="1" si="40"/>
        <v>0.6470588235294118</v>
      </c>
      <c r="N8" s="14" t="str">
        <f t="shared" ca="1" si="40"/>
        <v/>
      </c>
      <c r="O8" s="14" t="str">
        <f t="shared" ca="1" si="40"/>
        <v/>
      </c>
      <c r="P8" s="14" t="str">
        <f t="shared" ca="1" si="40"/>
        <v/>
      </c>
      <c r="Q8" s="14" t="str">
        <f t="shared" ca="1" si="40"/>
        <v/>
      </c>
      <c r="R8" s="14" t="str">
        <f t="shared" ca="1" si="40"/>
        <v/>
      </c>
      <c r="S8" s="14" t="str">
        <f t="shared" ca="1" si="40"/>
        <v/>
      </c>
      <c r="T8" s="14" t="str">
        <f t="shared" ca="1" si="40"/>
        <v/>
      </c>
      <c r="U8" s="14" t="str">
        <f t="shared" ca="1" si="40"/>
        <v/>
      </c>
      <c r="V8" s="14">
        <f t="shared" ca="1" si="40"/>
        <v>0.35294117647058826</v>
      </c>
      <c r="W8" s="14" t="str">
        <f t="shared" ca="1" si="40"/>
        <v/>
      </c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>
        <v>1</v>
      </c>
      <c r="BT8" s="15">
        <v>1</v>
      </c>
      <c r="BU8" s="15">
        <v>1</v>
      </c>
      <c r="BV8" s="15">
        <v>1</v>
      </c>
      <c r="BW8" s="15">
        <v>1</v>
      </c>
      <c r="BX8" s="15">
        <v>1</v>
      </c>
      <c r="BY8" s="15">
        <v>1</v>
      </c>
      <c r="BZ8" s="15">
        <v>1</v>
      </c>
      <c r="CA8" s="15">
        <v>1</v>
      </c>
      <c r="CB8" s="15">
        <v>1</v>
      </c>
      <c r="CC8" s="15">
        <v>1</v>
      </c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>
        <v>1</v>
      </c>
      <c r="ML8" s="15">
        <v>1</v>
      </c>
      <c r="MM8" s="15">
        <v>1</v>
      </c>
      <c r="MN8" s="15">
        <v>1</v>
      </c>
      <c r="MO8" s="15">
        <v>1</v>
      </c>
      <c r="MP8" s="15">
        <v>1</v>
      </c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8"/>
      <c r="NY8" s="35">
        <f t="shared" ref="NY8:NY13" si="41">SUM(X8:NX8)</f>
        <v>17</v>
      </c>
      <c r="NZ8" s="53">
        <v>44619</v>
      </c>
      <c r="OA8" s="53">
        <v>44892</v>
      </c>
      <c r="OB8" s="53"/>
      <c r="OC8" s="53" t="str">
        <f>IF(Таблица2[[#This Row],[дата нач.1]]=""," ",TEXT(Таблица2[[#This Row],[дата нач.1]],"Д.МММ")&amp;"-"&amp;CHAR(10)&amp;TEXT(Таблица2[[#This Row],[конец1]],"Д.МММ") )</f>
        <v>17.фев-
27.фев</v>
      </c>
      <c r="OD8" s="53" t="str">
        <f>IF(Таблица2[[#This Row],[дата нач.2]]=""," ",TEXT(Таблица2[[#This Row],[дата нач.2]],"Д.МММ")&amp;"-"&amp;CHAR(10)&amp;TEXT(Таблица2[[#This Row],[конец2]],"Д.МММ") )</f>
        <v>22.ноя-
27.ноя</v>
      </c>
      <c r="OE8" s="53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9" spans="1:395" s="3" customFormat="1" x14ac:dyDescent="0.25">
      <c r="A9" s="17">
        <v>2</v>
      </c>
      <c r="B9" s="11" t="s">
        <v>807</v>
      </c>
      <c r="C9" s="11" t="s">
        <v>809</v>
      </c>
      <c r="D9" s="11" t="s">
        <v>10</v>
      </c>
      <c r="E9" s="12">
        <v>44602</v>
      </c>
      <c r="F9" s="11">
        <v>6</v>
      </c>
      <c r="G9" s="12"/>
      <c r="H9" s="11"/>
      <c r="I9" s="11"/>
      <c r="J9" s="12"/>
      <c r="K9" s="13">
        <f t="shared" ref="K9:K12" si="42">SUM(F9,H9,J9)</f>
        <v>6</v>
      </c>
      <c r="L9" s="14" t="str">
        <f t="shared" ca="1" si="40"/>
        <v/>
      </c>
      <c r="M9" s="14">
        <f t="shared" ca="1" si="40"/>
        <v>1</v>
      </c>
      <c r="N9" s="14" t="str">
        <f t="shared" ca="1" si="40"/>
        <v/>
      </c>
      <c r="O9" s="14" t="str">
        <f t="shared" ca="1" si="40"/>
        <v/>
      </c>
      <c r="P9" s="14" t="str">
        <f t="shared" ca="1" si="40"/>
        <v/>
      </c>
      <c r="Q9" s="14" t="str">
        <f t="shared" ca="1" si="40"/>
        <v/>
      </c>
      <c r="R9" s="14" t="str">
        <f t="shared" ca="1" si="40"/>
        <v/>
      </c>
      <c r="S9" s="14" t="str">
        <f t="shared" ca="1" si="40"/>
        <v/>
      </c>
      <c r="T9" s="14" t="str">
        <f t="shared" ca="1" si="40"/>
        <v/>
      </c>
      <c r="U9" s="14" t="str">
        <f t="shared" ca="1" si="40"/>
        <v/>
      </c>
      <c r="V9" s="14" t="str">
        <f t="shared" ca="1" si="40"/>
        <v/>
      </c>
      <c r="W9" s="14" t="str">
        <f t="shared" ca="1" si="40"/>
        <v/>
      </c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>
        <v>1</v>
      </c>
      <c r="BM9" s="15">
        <v>1</v>
      </c>
      <c r="BN9" s="15">
        <v>1</v>
      </c>
      <c r="BO9" s="15">
        <v>1</v>
      </c>
      <c r="BP9" s="15">
        <v>1</v>
      </c>
      <c r="BQ9" s="15">
        <v>1</v>
      </c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8"/>
      <c r="NY9" s="35">
        <f t="shared" si="41"/>
        <v>6</v>
      </c>
      <c r="NZ9" s="54">
        <v>44607</v>
      </c>
      <c r="OA9" s="54"/>
      <c r="OB9" s="54"/>
      <c r="OC9" s="54" t="str">
        <f>IF(Таблица2[[#This Row],[дата нач.1]]=""," ",TEXT(Таблица2[[#This Row],[дата нач.1]],"Д.МММ")&amp;"-"&amp;CHAR(10)&amp;TEXT(Таблица2[[#This Row],[конец1]],"Д.МММ") )</f>
        <v>10.фев-
15.фев</v>
      </c>
      <c r="OD9" s="54" t="str">
        <f>IF(Таблица2[[#This Row],[дата нач.2]]=""," ",TEXT(Таблица2[[#This Row],[дата нач.2]],"Д.МММ")&amp;"-"&amp;CHAR(10)&amp;TEXT(Таблица2[[#This Row],[конец2]],"Д.МММ") )</f>
        <v xml:space="preserve"> </v>
      </c>
      <c r="OE9" s="54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10" spans="1:395" s="3" customFormat="1" x14ac:dyDescent="0.25">
      <c r="A10" s="17">
        <v>3</v>
      </c>
      <c r="B10" s="11" t="s">
        <v>807</v>
      </c>
      <c r="C10" s="11" t="s">
        <v>810</v>
      </c>
      <c r="D10" s="11" t="s">
        <v>10</v>
      </c>
      <c r="E10" s="12">
        <v>44571</v>
      </c>
      <c r="F10" s="11">
        <v>10</v>
      </c>
      <c r="G10" s="12">
        <v>44593</v>
      </c>
      <c r="H10" s="11">
        <v>3</v>
      </c>
      <c r="I10" s="12">
        <v>44625</v>
      </c>
      <c r="J10" s="11">
        <v>9</v>
      </c>
      <c r="K10" s="13">
        <f t="shared" si="42"/>
        <v>22</v>
      </c>
      <c r="L10" s="14">
        <f t="shared" ca="1" si="40"/>
        <v>0.41666666666666669</v>
      </c>
      <c r="M10" s="14">
        <f t="shared" ca="1" si="40"/>
        <v>0.125</v>
      </c>
      <c r="N10" s="14">
        <f t="shared" ca="1" si="40"/>
        <v>0.45833333333333331</v>
      </c>
      <c r="O10" s="14" t="str">
        <f t="shared" ca="1" si="40"/>
        <v/>
      </c>
      <c r="P10" s="14" t="str">
        <f t="shared" ca="1" si="40"/>
        <v/>
      </c>
      <c r="Q10" s="14" t="str">
        <f t="shared" ca="1" si="40"/>
        <v/>
      </c>
      <c r="R10" s="14" t="str">
        <f t="shared" ca="1" si="40"/>
        <v/>
      </c>
      <c r="S10" s="14" t="str">
        <f t="shared" ca="1" si="40"/>
        <v/>
      </c>
      <c r="T10" s="14" t="str">
        <f t="shared" ca="1" si="40"/>
        <v/>
      </c>
      <c r="U10" s="14" t="str">
        <f t="shared" ca="1" si="40"/>
        <v/>
      </c>
      <c r="V10" s="14" t="str">
        <f t="shared" ca="1" si="40"/>
        <v/>
      </c>
      <c r="W10" s="14" t="str">
        <f t="shared" ca="1" si="40"/>
        <v/>
      </c>
      <c r="X10" s="15"/>
      <c r="Y10" s="15"/>
      <c r="Z10" s="15"/>
      <c r="AA10" s="15"/>
      <c r="AB10" s="15"/>
      <c r="AC10" s="15"/>
      <c r="AD10" s="15"/>
      <c r="AE10" s="15"/>
      <c r="AF10" s="15"/>
      <c r="AG10" s="15">
        <v>1</v>
      </c>
      <c r="AH10" s="15">
        <v>1</v>
      </c>
      <c r="AI10" s="15">
        <v>1</v>
      </c>
      <c r="AJ10" s="15">
        <v>1</v>
      </c>
      <c r="AK10" s="15">
        <v>1</v>
      </c>
      <c r="AL10" s="15">
        <v>1</v>
      </c>
      <c r="AM10" s="15">
        <v>1</v>
      </c>
      <c r="AN10" s="15">
        <v>1</v>
      </c>
      <c r="AO10" s="15">
        <v>1</v>
      </c>
      <c r="AP10" s="15">
        <v>1</v>
      </c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>
        <v>1</v>
      </c>
      <c r="BD10" s="15">
        <v>1</v>
      </c>
      <c r="BE10" s="15">
        <v>1</v>
      </c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>
        <v>1</v>
      </c>
      <c r="CJ10" s="15">
        <v>1</v>
      </c>
      <c r="CK10" s="15">
        <v>1</v>
      </c>
      <c r="CL10" s="15">
        <v>1</v>
      </c>
      <c r="CM10" s="15">
        <v>1</v>
      </c>
      <c r="CN10" s="15">
        <v>1</v>
      </c>
      <c r="CO10" s="15">
        <v>1</v>
      </c>
      <c r="CP10" s="15">
        <v>1</v>
      </c>
      <c r="CQ10" s="15">
        <v>1</v>
      </c>
      <c r="CR10" s="15">
        <v>1</v>
      </c>
      <c r="CS10" s="15">
        <v>1</v>
      </c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8"/>
      <c r="NY10" s="35">
        <f t="shared" si="41"/>
        <v>24</v>
      </c>
      <c r="NZ10" s="54">
        <v>44580</v>
      </c>
      <c r="OA10" s="54">
        <v>44595</v>
      </c>
      <c r="OB10" s="54">
        <v>44635</v>
      </c>
      <c r="OC10" s="54" t="str">
        <f>IF(Таблица2[[#This Row],[дата нач.1]]=""," ",TEXT(Таблица2[[#This Row],[дата нач.1]],"Д.МММ")&amp;"-"&amp;CHAR(10)&amp;TEXT(Таблица2[[#This Row],[конец1]],"Д.МММ") )</f>
        <v>10.янв-
19.янв</v>
      </c>
      <c r="OD10" s="54" t="str">
        <f>IF(Таблица2[[#This Row],[дата нач.2]]=""," ",TEXT(Таблица2[[#This Row],[дата нач.2]],"Д.МММ")&amp;"-"&amp;CHAR(10)&amp;TEXT(Таблица2[[#This Row],[конец2]],"Д.МММ") )</f>
        <v>1.фев-
3.фев</v>
      </c>
      <c r="OE10" s="54" t="str">
        <f>IF(Таблица2[[#This Row],[дата нач.3]]=""," ",TEXT(Таблица2[[#This Row],[дата нач.3]],"Д.МММ")&amp;"-"&amp;CHAR(10)&amp;TEXT(Таблица2[[#This Row],[конец3]],"Д.МММ") )</f>
        <v>5.мар-
15.мар</v>
      </c>
    </row>
    <row r="11" spans="1:395" s="3" customFormat="1" x14ac:dyDescent="0.25">
      <c r="A11" s="17">
        <v>4</v>
      </c>
      <c r="B11" s="11" t="s">
        <v>807</v>
      </c>
      <c r="C11" s="16" t="s">
        <v>811</v>
      </c>
      <c r="D11" s="11" t="s">
        <v>11</v>
      </c>
      <c r="E11" s="12">
        <v>44571</v>
      </c>
      <c r="F11" s="16">
        <v>9</v>
      </c>
      <c r="G11" s="12">
        <v>44621</v>
      </c>
      <c r="H11" s="16">
        <v>14</v>
      </c>
      <c r="I11" s="11"/>
      <c r="J11" s="11"/>
      <c r="K11" s="13">
        <f t="shared" si="42"/>
        <v>23</v>
      </c>
      <c r="L11" s="14">
        <f t="shared" ca="1" si="40"/>
        <v>0.36</v>
      </c>
      <c r="M11" s="14" t="str">
        <f t="shared" ca="1" si="40"/>
        <v/>
      </c>
      <c r="N11" s="14">
        <f t="shared" ca="1" si="40"/>
        <v>0.64</v>
      </c>
      <c r="O11" s="14" t="str">
        <f t="shared" ca="1" si="40"/>
        <v/>
      </c>
      <c r="P11" s="14" t="str">
        <f t="shared" ca="1" si="40"/>
        <v/>
      </c>
      <c r="Q11" s="14" t="str">
        <f t="shared" ca="1" si="40"/>
        <v/>
      </c>
      <c r="R11" s="14" t="str">
        <f t="shared" ca="1" si="40"/>
        <v/>
      </c>
      <c r="S11" s="14" t="str">
        <f t="shared" ca="1" si="40"/>
        <v/>
      </c>
      <c r="T11" s="14" t="str">
        <f t="shared" ca="1" si="40"/>
        <v/>
      </c>
      <c r="U11" s="14" t="str">
        <f t="shared" ca="1" si="40"/>
        <v/>
      </c>
      <c r="V11" s="14" t="str">
        <f t="shared" ca="1" si="40"/>
        <v/>
      </c>
      <c r="W11" s="14" t="str">
        <f t="shared" ca="1" si="40"/>
        <v/>
      </c>
      <c r="X11" s="15"/>
      <c r="Y11" s="15"/>
      <c r="Z11" s="15"/>
      <c r="AA11" s="15"/>
      <c r="AB11" s="15"/>
      <c r="AC11" s="15"/>
      <c r="AD11" s="15"/>
      <c r="AE11" s="15"/>
      <c r="AF11" s="15"/>
      <c r="AG11" s="15">
        <v>1</v>
      </c>
      <c r="AH11" s="15">
        <v>1</v>
      </c>
      <c r="AI11" s="15">
        <v>1</v>
      </c>
      <c r="AJ11" s="15">
        <v>1</v>
      </c>
      <c r="AK11" s="15">
        <v>1</v>
      </c>
      <c r="AL11" s="15">
        <v>1</v>
      </c>
      <c r="AM11" s="15">
        <v>1</v>
      </c>
      <c r="AN11" s="15">
        <v>1</v>
      </c>
      <c r="AO11" s="15">
        <v>1</v>
      </c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>
        <v>1</v>
      </c>
      <c r="CF11" s="15">
        <v>1</v>
      </c>
      <c r="CG11" s="15">
        <v>1</v>
      </c>
      <c r="CH11" s="15">
        <v>1</v>
      </c>
      <c r="CI11" s="15">
        <v>1</v>
      </c>
      <c r="CJ11" s="15">
        <v>1</v>
      </c>
      <c r="CK11" s="15">
        <v>1</v>
      </c>
      <c r="CL11" s="15">
        <v>1</v>
      </c>
      <c r="CM11" s="15">
        <v>1</v>
      </c>
      <c r="CN11" s="15">
        <v>1</v>
      </c>
      <c r="CO11" s="15">
        <v>1</v>
      </c>
      <c r="CP11" s="15">
        <v>1</v>
      </c>
      <c r="CQ11" s="15">
        <v>1</v>
      </c>
      <c r="CR11" s="15">
        <v>1</v>
      </c>
      <c r="CS11" s="15">
        <v>1</v>
      </c>
      <c r="CT11" s="15">
        <v>1</v>
      </c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8"/>
      <c r="NY11" s="35">
        <f t="shared" si="41"/>
        <v>25</v>
      </c>
      <c r="NZ11" s="54">
        <v>44579</v>
      </c>
      <c r="OA11" s="54">
        <v>44636</v>
      </c>
      <c r="OB11" s="54"/>
      <c r="OC11" s="54" t="str">
        <f>IF(Таблица2[[#This Row],[дата нач.1]]=""," ",TEXT(Таблица2[[#This Row],[дата нач.1]],"Д.МММ")&amp;"-"&amp;CHAR(10)&amp;TEXT(Таблица2[[#This Row],[конец1]],"Д.МММ") )</f>
        <v>10.янв-
18.янв</v>
      </c>
      <c r="OD11" s="54" t="str">
        <f>IF(Таблица2[[#This Row],[дата нач.2]]=""," ",TEXT(Таблица2[[#This Row],[дата нач.2]],"Д.МММ")&amp;"-"&amp;CHAR(10)&amp;TEXT(Таблица2[[#This Row],[конец2]],"Д.МММ") )</f>
        <v>1.мар-
16.мар</v>
      </c>
      <c r="OE11" s="54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12" spans="1:395" s="3" customFormat="1" x14ac:dyDescent="0.25">
      <c r="A12" s="24">
        <v>5</v>
      </c>
      <c r="B12" s="11" t="s">
        <v>807</v>
      </c>
      <c r="C12" s="26" t="s">
        <v>812</v>
      </c>
      <c r="D12" s="25" t="s">
        <v>11</v>
      </c>
      <c r="E12" s="27">
        <v>44600</v>
      </c>
      <c r="F12" s="26">
        <v>11</v>
      </c>
      <c r="G12" s="27">
        <v>44685</v>
      </c>
      <c r="H12" s="25">
        <v>10</v>
      </c>
      <c r="I12" s="27">
        <v>44743</v>
      </c>
      <c r="J12" s="25">
        <v>16</v>
      </c>
      <c r="K12" s="28">
        <f t="shared" si="42"/>
        <v>37</v>
      </c>
      <c r="L12" s="14" t="str">
        <f t="shared" ca="1" si="40"/>
        <v/>
      </c>
      <c r="M12" s="14">
        <f t="shared" ca="1" si="40"/>
        <v>0.33333333333333331</v>
      </c>
      <c r="N12" s="14" t="str">
        <f t="shared" ca="1" si="40"/>
        <v/>
      </c>
      <c r="O12" s="14" t="str">
        <f t="shared" ca="1" si="40"/>
        <v/>
      </c>
      <c r="P12" s="14">
        <f t="shared" ca="1" si="40"/>
        <v>0.36363636363636365</v>
      </c>
      <c r="Q12" s="14" t="str">
        <f t="shared" ca="1" si="40"/>
        <v/>
      </c>
      <c r="R12" s="14">
        <f t="shared" ca="1" si="40"/>
        <v>0.30303030303030304</v>
      </c>
      <c r="S12" s="14" t="str">
        <f t="shared" ca="1" si="40"/>
        <v/>
      </c>
      <c r="T12" s="14" t="str">
        <f t="shared" ca="1" si="40"/>
        <v/>
      </c>
      <c r="U12" s="14" t="str">
        <f t="shared" ca="1" si="40"/>
        <v/>
      </c>
      <c r="V12" s="14" t="str">
        <f t="shared" ca="1" si="40"/>
        <v/>
      </c>
      <c r="W12" s="14" t="str">
        <f t="shared" ca="1" si="40"/>
        <v/>
      </c>
      <c r="X12" s="29"/>
      <c r="Y12" s="29"/>
      <c r="Z12" s="29"/>
      <c r="AA12" s="29"/>
      <c r="AB12" s="29"/>
      <c r="AC12" s="29"/>
      <c r="AD12" s="29"/>
      <c r="AE12" s="29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>
        <v>1</v>
      </c>
      <c r="BK12" s="30">
        <v>1</v>
      </c>
      <c r="BL12" s="30">
        <v>1</v>
      </c>
      <c r="BM12" s="30">
        <v>1</v>
      </c>
      <c r="BN12" s="30">
        <v>1</v>
      </c>
      <c r="BO12" s="30">
        <v>1</v>
      </c>
      <c r="BP12" s="31">
        <v>1</v>
      </c>
      <c r="BQ12" s="31">
        <v>1</v>
      </c>
      <c r="BR12" s="31">
        <v>1</v>
      </c>
      <c r="BS12" s="31">
        <v>1</v>
      </c>
      <c r="BT12" s="31">
        <v>1</v>
      </c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2"/>
      <c r="DW12" s="32"/>
      <c r="DX12" s="32"/>
      <c r="DY12" s="32"/>
      <c r="DZ12" s="32"/>
      <c r="EA12" s="32"/>
      <c r="EB12" s="32"/>
      <c r="EC12" s="32"/>
      <c r="ED12" s="32"/>
      <c r="EE12" s="32"/>
      <c r="EF12" s="32"/>
      <c r="EG12" s="32"/>
      <c r="EH12" s="32"/>
      <c r="EI12" s="32"/>
      <c r="EJ12" s="32"/>
      <c r="EK12" s="32"/>
      <c r="EL12" s="32"/>
      <c r="EM12" s="32"/>
      <c r="EN12" s="32"/>
      <c r="EO12" s="32"/>
      <c r="EP12" s="32"/>
      <c r="EQ12" s="32">
        <v>1</v>
      </c>
      <c r="ER12" s="32">
        <v>1</v>
      </c>
      <c r="ES12" s="32">
        <v>1</v>
      </c>
      <c r="ET12" s="32">
        <v>1</v>
      </c>
      <c r="EU12" s="32">
        <v>1</v>
      </c>
      <c r="EV12" s="32">
        <v>1</v>
      </c>
      <c r="EW12" s="32">
        <v>1</v>
      </c>
      <c r="EX12" s="32">
        <v>1</v>
      </c>
      <c r="EY12" s="32">
        <v>1</v>
      </c>
      <c r="EZ12" s="32">
        <v>1</v>
      </c>
      <c r="FA12" s="32">
        <v>1</v>
      </c>
      <c r="FB12" s="32">
        <v>1</v>
      </c>
      <c r="FC12" s="32"/>
      <c r="FD12" s="32"/>
      <c r="FE12" s="32"/>
      <c r="FF12" s="32"/>
      <c r="FG12" s="32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2"/>
      <c r="FS12" s="32"/>
      <c r="FT12" s="32"/>
      <c r="FU12" s="32"/>
      <c r="FV12" s="32"/>
      <c r="FW12" s="32"/>
      <c r="FX12" s="32"/>
      <c r="FY12" s="32"/>
      <c r="FZ12" s="32"/>
      <c r="GA12" s="32"/>
      <c r="GB12" s="32"/>
      <c r="GC12" s="32"/>
      <c r="GD12" s="32"/>
      <c r="GE12" s="32"/>
      <c r="GF12" s="32"/>
      <c r="GG12" s="32"/>
      <c r="GH12" s="32"/>
      <c r="GI12" s="32"/>
      <c r="GJ12" s="32"/>
      <c r="GK12" s="32"/>
      <c r="GL12" s="32"/>
      <c r="GM12" s="32"/>
      <c r="GN12" s="32"/>
      <c r="GO12" s="32"/>
      <c r="GP12" s="32"/>
      <c r="GQ12" s="32"/>
      <c r="GR12" s="32"/>
      <c r="GS12" s="32"/>
      <c r="GT12" s="32"/>
      <c r="GU12" s="32"/>
      <c r="GV12" s="32"/>
      <c r="GW12" s="32">
        <v>1</v>
      </c>
      <c r="GX12" s="32">
        <v>1</v>
      </c>
      <c r="GY12" s="32">
        <v>1</v>
      </c>
      <c r="GZ12" s="32">
        <v>1</v>
      </c>
      <c r="HA12" s="32">
        <v>1</v>
      </c>
      <c r="HB12" s="32">
        <v>1</v>
      </c>
      <c r="HC12" s="32">
        <v>1</v>
      </c>
      <c r="HD12" s="32">
        <v>1</v>
      </c>
      <c r="HE12" s="32">
        <v>1</v>
      </c>
      <c r="HF12" s="32">
        <v>1</v>
      </c>
      <c r="HG12" s="32"/>
      <c r="HH12" s="32"/>
      <c r="HI12" s="32"/>
      <c r="HJ12" s="32"/>
      <c r="HK12" s="32"/>
      <c r="HL12" s="32"/>
      <c r="HM12" s="32"/>
      <c r="HN12" s="32"/>
      <c r="HO12" s="32"/>
      <c r="HP12" s="32"/>
      <c r="HQ12" s="32"/>
      <c r="HR12" s="32"/>
      <c r="HS12" s="32"/>
      <c r="HT12" s="32"/>
      <c r="HU12" s="32"/>
      <c r="HV12" s="32"/>
      <c r="HW12" s="32"/>
      <c r="HX12" s="32"/>
      <c r="HY12" s="32"/>
      <c r="HZ12" s="32"/>
      <c r="IA12" s="32"/>
      <c r="IB12" s="32"/>
      <c r="IC12" s="32"/>
      <c r="ID12" s="32"/>
      <c r="IE12" s="32"/>
      <c r="IF12" s="32"/>
      <c r="IG12" s="32"/>
      <c r="IH12" s="32"/>
      <c r="II12" s="32"/>
      <c r="IJ12" s="32"/>
      <c r="IK12" s="32"/>
      <c r="IL12" s="32"/>
      <c r="IM12" s="32"/>
      <c r="IN12" s="32"/>
      <c r="IO12" s="32"/>
      <c r="IP12" s="32"/>
      <c r="IQ12" s="32"/>
      <c r="IR12" s="32"/>
      <c r="IS12" s="32"/>
      <c r="IT12" s="32"/>
      <c r="IU12" s="32"/>
      <c r="IV12" s="32"/>
      <c r="IW12" s="32"/>
      <c r="IX12" s="32"/>
      <c r="IY12" s="32"/>
      <c r="IZ12" s="32"/>
      <c r="JA12" s="32"/>
      <c r="JB12" s="32"/>
      <c r="JC12" s="32"/>
      <c r="JD12" s="32"/>
      <c r="JE12" s="32"/>
      <c r="JF12" s="32"/>
      <c r="JG12" s="32"/>
      <c r="JH12" s="32"/>
      <c r="JI12" s="32"/>
      <c r="JJ12" s="32"/>
      <c r="JK12" s="32"/>
      <c r="JL12" s="32"/>
      <c r="JM12" s="32"/>
      <c r="JN12" s="32"/>
      <c r="JO12" s="32"/>
      <c r="JP12" s="32"/>
      <c r="JQ12" s="32"/>
      <c r="JR12" s="32"/>
      <c r="JS12" s="32"/>
      <c r="JT12" s="32"/>
      <c r="JU12" s="32"/>
      <c r="JV12" s="32"/>
      <c r="JW12" s="32"/>
      <c r="JX12" s="32"/>
      <c r="JY12" s="32"/>
      <c r="JZ12" s="32"/>
      <c r="KA12" s="32"/>
      <c r="KB12" s="32"/>
      <c r="KC12" s="32"/>
      <c r="KD12" s="32"/>
      <c r="KE12" s="32"/>
      <c r="KF12" s="32"/>
      <c r="KG12" s="32"/>
      <c r="KH12" s="32"/>
      <c r="KI12" s="32"/>
      <c r="KJ12" s="32"/>
      <c r="KK12" s="32"/>
      <c r="KL12" s="32"/>
      <c r="KM12" s="32"/>
      <c r="KN12" s="32"/>
      <c r="KO12" s="32"/>
      <c r="KP12" s="32"/>
      <c r="KQ12" s="32"/>
      <c r="KR12" s="32"/>
      <c r="KS12" s="32"/>
      <c r="KT12" s="32"/>
      <c r="KU12" s="32"/>
      <c r="KV12" s="32"/>
      <c r="KW12" s="32"/>
      <c r="KX12" s="32"/>
      <c r="KY12" s="32"/>
      <c r="KZ12" s="32"/>
      <c r="LA12" s="32"/>
      <c r="LB12" s="32"/>
      <c r="LC12" s="32"/>
      <c r="LD12" s="32"/>
      <c r="LE12" s="32"/>
      <c r="LF12" s="32"/>
      <c r="LG12" s="32"/>
      <c r="LH12" s="32"/>
      <c r="LI12" s="32"/>
      <c r="LJ12" s="32"/>
      <c r="LK12" s="32"/>
      <c r="LL12" s="32"/>
      <c r="LM12" s="32"/>
      <c r="LN12" s="32"/>
      <c r="LO12" s="32"/>
      <c r="LP12" s="32"/>
      <c r="LQ12" s="32"/>
      <c r="LR12" s="32"/>
      <c r="LS12" s="32"/>
      <c r="LT12" s="32"/>
      <c r="LU12" s="32"/>
      <c r="LV12" s="32"/>
      <c r="LW12" s="32"/>
      <c r="LX12" s="32"/>
      <c r="LY12" s="32"/>
      <c r="LZ12" s="32"/>
      <c r="MA12" s="32"/>
      <c r="MB12" s="32"/>
      <c r="MC12" s="32"/>
      <c r="MD12" s="32"/>
      <c r="ME12" s="32"/>
      <c r="MF12" s="32"/>
      <c r="MG12" s="32"/>
      <c r="MH12" s="32"/>
      <c r="MI12" s="32"/>
      <c r="MJ12" s="32"/>
      <c r="MK12" s="32"/>
      <c r="ML12" s="32"/>
      <c r="MM12" s="32"/>
      <c r="MN12" s="32"/>
      <c r="MO12" s="32"/>
      <c r="MP12" s="32"/>
      <c r="MQ12" s="32"/>
      <c r="MR12" s="32"/>
      <c r="MS12" s="32"/>
      <c r="MT12" s="32"/>
      <c r="MU12" s="32"/>
      <c r="MV12" s="32"/>
      <c r="MW12" s="32"/>
      <c r="MX12" s="32"/>
      <c r="MY12" s="32"/>
      <c r="MZ12" s="32"/>
      <c r="NA12" s="32"/>
      <c r="NB12" s="32"/>
      <c r="NC12" s="32"/>
      <c r="ND12" s="32"/>
      <c r="NE12" s="32"/>
      <c r="NF12" s="32"/>
      <c r="NG12" s="32"/>
      <c r="NH12" s="32"/>
      <c r="NI12" s="32"/>
      <c r="NJ12" s="32"/>
      <c r="NK12" s="32"/>
      <c r="NL12" s="32"/>
      <c r="NM12" s="32"/>
      <c r="NN12" s="32"/>
      <c r="NO12" s="32"/>
      <c r="NP12" s="32"/>
      <c r="NQ12" s="32"/>
      <c r="NR12" s="32"/>
      <c r="NS12" s="32"/>
      <c r="NT12" s="32"/>
      <c r="NU12" s="32"/>
      <c r="NV12" s="32"/>
      <c r="NW12" s="32"/>
      <c r="NX12" s="33"/>
      <c r="NY12" s="35">
        <f t="shared" si="41"/>
        <v>33</v>
      </c>
      <c r="NZ12" s="54">
        <v>44610</v>
      </c>
      <c r="OA12" s="54">
        <v>44696</v>
      </c>
      <c r="OB12" s="54">
        <v>44752</v>
      </c>
      <c r="OC12" s="54" t="str">
        <f>IF(Таблица2[[#This Row],[дата нач.1]]=""," ",TEXT(Таблица2[[#This Row],[дата нач.1]],"Д.МММ")&amp;"-"&amp;CHAR(10)&amp;TEXT(Таблица2[[#This Row],[конец1]],"Д.МММ") )</f>
        <v>8.фев-
18.фев</v>
      </c>
      <c r="OD12" s="54" t="str">
        <f>IF(Таблица2[[#This Row],[дата нач.2]]=""," ",TEXT(Таблица2[[#This Row],[дата нач.2]],"Д.МММ")&amp;"-"&amp;CHAR(10)&amp;TEXT(Таблица2[[#This Row],[конец2]],"Д.МММ") )</f>
        <v>4.май-
15.май</v>
      </c>
      <c r="OE12" s="54" t="str">
        <f>IF(Таблица2[[#This Row],[дата нач.3]]=""," ",TEXT(Таблица2[[#This Row],[дата нач.3]],"Д.МММ")&amp;"-"&amp;CHAR(10)&amp;TEXT(Таблица2[[#This Row],[конец3]],"Д.МММ") )</f>
        <v>1.июл-
10.июл</v>
      </c>
    </row>
    <row r="13" spans="1:395" s="3" customFormat="1" x14ac:dyDescent="0.25">
      <c r="A13" s="17">
        <v>6</v>
      </c>
      <c r="B13" s="11" t="s">
        <v>807</v>
      </c>
      <c r="C13" s="25" t="s">
        <v>813</v>
      </c>
      <c r="D13" s="25" t="s">
        <v>11</v>
      </c>
      <c r="E13" s="27">
        <v>44571</v>
      </c>
      <c r="F13" s="26">
        <v>12</v>
      </c>
      <c r="G13" s="27">
        <v>44713</v>
      </c>
      <c r="H13" s="25">
        <v>20</v>
      </c>
      <c r="I13" s="25"/>
      <c r="J13" s="25"/>
      <c r="K13" s="28">
        <f>SUM(F13,H13,J13)</f>
        <v>32</v>
      </c>
      <c r="L13" s="14">
        <f t="shared" ca="1" si="40"/>
        <v>0.36363636363636365</v>
      </c>
      <c r="M13" s="14" t="str">
        <f t="shared" ca="1" si="40"/>
        <v/>
      </c>
      <c r="N13" s="14" t="str">
        <f t="shared" ca="1" si="40"/>
        <v/>
      </c>
      <c r="O13" s="14" t="str">
        <f t="shared" ca="1" si="40"/>
        <v/>
      </c>
      <c r="P13" s="14" t="str">
        <f t="shared" ca="1" si="40"/>
        <v/>
      </c>
      <c r="Q13" s="14">
        <f t="shared" ca="1" si="40"/>
        <v>0.63636363636363635</v>
      </c>
      <c r="R13" s="14" t="str">
        <f t="shared" ca="1" si="40"/>
        <v/>
      </c>
      <c r="S13" s="14" t="str">
        <f t="shared" ca="1" si="40"/>
        <v/>
      </c>
      <c r="T13" s="14" t="str">
        <f t="shared" ca="1" si="40"/>
        <v/>
      </c>
      <c r="U13" s="14" t="str">
        <f t="shared" ca="1" si="40"/>
        <v/>
      </c>
      <c r="V13" s="14" t="str">
        <f t="shared" ca="1" si="40"/>
        <v/>
      </c>
      <c r="W13" s="14" t="str">
        <f t="shared" ca="1" si="40"/>
        <v/>
      </c>
      <c r="X13" s="29"/>
      <c r="Y13" s="29"/>
      <c r="Z13" s="29"/>
      <c r="AA13" s="29"/>
      <c r="AB13" s="29"/>
      <c r="AC13" s="29"/>
      <c r="AD13" s="29"/>
      <c r="AE13" s="29"/>
      <c r="AF13" s="30"/>
      <c r="AG13" s="30">
        <v>1</v>
      </c>
      <c r="AH13" s="30">
        <v>1</v>
      </c>
      <c r="AI13" s="30">
        <v>1</v>
      </c>
      <c r="AJ13" s="30">
        <v>1</v>
      </c>
      <c r="AK13" s="30">
        <v>1</v>
      </c>
      <c r="AL13" s="30">
        <v>1</v>
      </c>
      <c r="AM13" s="30">
        <v>1</v>
      </c>
      <c r="AN13" s="30">
        <v>1</v>
      </c>
      <c r="AO13" s="30">
        <v>1</v>
      </c>
      <c r="AP13" s="30">
        <v>1</v>
      </c>
      <c r="AQ13" s="30">
        <v>1</v>
      </c>
      <c r="AR13" s="30">
        <v>1</v>
      </c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>
        <v>1</v>
      </c>
      <c r="FT13" s="32">
        <v>1</v>
      </c>
      <c r="FU13" s="32">
        <v>1</v>
      </c>
      <c r="FV13" s="32">
        <v>1</v>
      </c>
      <c r="FW13" s="32">
        <v>1</v>
      </c>
      <c r="FX13" s="32">
        <v>1</v>
      </c>
      <c r="FY13" s="32">
        <v>1</v>
      </c>
      <c r="FZ13" s="32">
        <v>1</v>
      </c>
      <c r="GA13" s="32">
        <v>1</v>
      </c>
      <c r="GB13" s="32">
        <v>1</v>
      </c>
      <c r="GC13" s="32">
        <v>1</v>
      </c>
      <c r="GD13" s="32">
        <v>1</v>
      </c>
      <c r="GE13" s="32">
        <v>1</v>
      </c>
      <c r="GF13" s="32">
        <v>1</v>
      </c>
      <c r="GG13" s="32">
        <v>1</v>
      </c>
      <c r="GH13" s="32">
        <v>1</v>
      </c>
      <c r="GI13" s="32">
        <v>1</v>
      </c>
      <c r="GJ13" s="32">
        <v>1</v>
      </c>
      <c r="GK13" s="32">
        <v>1</v>
      </c>
      <c r="GL13" s="32">
        <v>1</v>
      </c>
      <c r="GM13" s="32">
        <v>1</v>
      </c>
      <c r="GN13" s="32"/>
      <c r="GO13" s="32"/>
      <c r="GP13" s="32"/>
      <c r="GQ13" s="32"/>
      <c r="GR13" s="32"/>
      <c r="GS13" s="32"/>
      <c r="GT13" s="32"/>
      <c r="GU13" s="32"/>
      <c r="GV13" s="32"/>
      <c r="GW13" s="32"/>
      <c r="GX13" s="32"/>
      <c r="GY13" s="32"/>
      <c r="GZ13" s="32"/>
      <c r="HA13" s="32"/>
      <c r="HB13" s="32"/>
      <c r="HC13" s="32"/>
      <c r="HD13" s="32"/>
      <c r="HE13" s="32"/>
      <c r="HF13" s="32"/>
      <c r="HG13" s="32"/>
      <c r="HH13" s="32"/>
      <c r="HI13" s="32"/>
      <c r="HJ13" s="32"/>
      <c r="HK13" s="32"/>
      <c r="HL13" s="32"/>
      <c r="HM13" s="32"/>
      <c r="HN13" s="32"/>
      <c r="HO13" s="32"/>
      <c r="HP13" s="32"/>
      <c r="HQ13" s="32"/>
      <c r="HR13" s="32"/>
      <c r="HS13" s="32"/>
      <c r="HT13" s="32"/>
      <c r="HU13" s="32"/>
      <c r="HV13" s="32"/>
      <c r="HW13" s="32"/>
      <c r="HX13" s="32"/>
      <c r="HY13" s="32"/>
      <c r="HZ13" s="32"/>
      <c r="IA13" s="32"/>
      <c r="IB13" s="32"/>
      <c r="IC13" s="32"/>
      <c r="ID13" s="32"/>
      <c r="IE13" s="32"/>
      <c r="IF13" s="32"/>
      <c r="IG13" s="32"/>
      <c r="IH13" s="32"/>
      <c r="II13" s="32"/>
      <c r="IJ13" s="32"/>
      <c r="IK13" s="32"/>
      <c r="IL13" s="32"/>
      <c r="IM13" s="32"/>
      <c r="IN13" s="32"/>
      <c r="IO13" s="32"/>
      <c r="IP13" s="32"/>
      <c r="IQ13" s="32"/>
      <c r="IR13" s="32"/>
      <c r="IS13" s="32"/>
      <c r="IT13" s="32"/>
      <c r="IU13" s="32"/>
      <c r="IV13" s="32"/>
      <c r="IW13" s="32"/>
      <c r="IX13" s="32"/>
      <c r="IY13" s="32"/>
      <c r="IZ13" s="32"/>
      <c r="JA13" s="32"/>
      <c r="JB13" s="32"/>
      <c r="JC13" s="32"/>
      <c r="JD13" s="32"/>
      <c r="JE13" s="32"/>
      <c r="JF13" s="32"/>
      <c r="JG13" s="32"/>
      <c r="JH13" s="32"/>
      <c r="JI13" s="32"/>
      <c r="JJ13" s="32"/>
      <c r="JK13" s="32"/>
      <c r="JL13" s="32"/>
      <c r="JM13" s="32"/>
      <c r="JN13" s="32"/>
      <c r="JO13" s="32"/>
      <c r="JP13" s="32"/>
      <c r="JQ13" s="32"/>
      <c r="JR13" s="32"/>
      <c r="JS13" s="32"/>
      <c r="JT13" s="32"/>
      <c r="JU13" s="32"/>
      <c r="JV13" s="32"/>
      <c r="JW13" s="32"/>
      <c r="JX13" s="32"/>
      <c r="JY13" s="32"/>
      <c r="JZ13" s="32"/>
      <c r="KA13" s="32"/>
      <c r="KB13" s="32"/>
      <c r="KC13" s="32"/>
      <c r="KD13" s="32"/>
      <c r="KE13" s="32"/>
      <c r="KF13" s="32"/>
      <c r="KG13" s="32"/>
      <c r="KH13" s="32"/>
      <c r="KI13" s="32"/>
      <c r="KJ13" s="32"/>
      <c r="KK13" s="32"/>
      <c r="KL13" s="32"/>
      <c r="KM13" s="32"/>
      <c r="KN13" s="32"/>
      <c r="KO13" s="32"/>
      <c r="KP13" s="32"/>
      <c r="KQ13" s="32"/>
      <c r="KR13" s="32"/>
      <c r="KS13" s="32"/>
      <c r="KT13" s="32"/>
      <c r="KU13" s="32"/>
      <c r="KV13" s="32"/>
      <c r="KW13" s="32"/>
      <c r="KX13" s="32"/>
      <c r="KY13" s="32"/>
      <c r="KZ13" s="32"/>
      <c r="LA13" s="32"/>
      <c r="LB13" s="32"/>
      <c r="LC13" s="32"/>
      <c r="LD13" s="32"/>
      <c r="LE13" s="32"/>
      <c r="LF13" s="32"/>
      <c r="LG13" s="32"/>
      <c r="LH13" s="32"/>
      <c r="LI13" s="32"/>
      <c r="LJ13" s="32"/>
      <c r="LK13" s="32"/>
      <c r="LL13" s="32"/>
      <c r="LM13" s="32"/>
      <c r="LN13" s="32"/>
      <c r="LO13" s="32"/>
      <c r="LP13" s="32"/>
      <c r="LQ13" s="32"/>
      <c r="LR13" s="32"/>
      <c r="LS13" s="32"/>
      <c r="LT13" s="32"/>
      <c r="LU13" s="32"/>
      <c r="LV13" s="32"/>
      <c r="LW13" s="32"/>
      <c r="LX13" s="32"/>
      <c r="LY13" s="32"/>
      <c r="LZ13" s="32"/>
      <c r="MA13" s="32"/>
      <c r="MB13" s="32"/>
      <c r="MC13" s="32"/>
      <c r="MD13" s="32"/>
      <c r="ME13" s="32"/>
      <c r="MF13" s="32"/>
      <c r="MG13" s="32"/>
      <c r="MH13" s="32"/>
      <c r="MI13" s="32"/>
      <c r="MJ13" s="32"/>
      <c r="MK13" s="32"/>
      <c r="ML13" s="32"/>
      <c r="MM13" s="32"/>
      <c r="MN13" s="32"/>
      <c r="MO13" s="32"/>
      <c r="MP13" s="32"/>
      <c r="MQ13" s="32"/>
      <c r="MR13" s="32"/>
      <c r="MS13" s="32"/>
      <c r="MT13" s="32"/>
      <c r="MU13" s="32"/>
      <c r="MV13" s="32"/>
      <c r="MW13" s="32"/>
      <c r="MX13" s="32"/>
      <c r="MY13" s="32"/>
      <c r="MZ13" s="32"/>
      <c r="NA13" s="32"/>
      <c r="NB13" s="32"/>
      <c r="NC13" s="32"/>
      <c r="ND13" s="32"/>
      <c r="NE13" s="32"/>
      <c r="NF13" s="32"/>
      <c r="NG13" s="32"/>
      <c r="NH13" s="32"/>
      <c r="NI13" s="32"/>
      <c r="NJ13" s="32"/>
      <c r="NK13" s="32"/>
      <c r="NL13" s="32"/>
      <c r="NM13" s="32"/>
      <c r="NN13" s="32"/>
      <c r="NO13" s="32"/>
      <c r="NP13" s="32"/>
      <c r="NQ13" s="32"/>
      <c r="NR13" s="32"/>
      <c r="NS13" s="32"/>
      <c r="NT13" s="32"/>
      <c r="NU13" s="32"/>
      <c r="NV13" s="32"/>
      <c r="NW13" s="32"/>
      <c r="NX13" s="33"/>
      <c r="NY13" s="35">
        <f t="shared" si="41"/>
        <v>33</v>
      </c>
      <c r="NZ13" s="54">
        <v>44582</v>
      </c>
      <c r="OA13" s="54">
        <v>44733</v>
      </c>
      <c r="OB13" s="54"/>
      <c r="OC13" s="54" t="str">
        <f>IF(Таблица2[[#This Row],[дата нач.1]]=""," ",TEXT(Таблица2[[#This Row],[дата нач.1]],"Д.МММ")&amp;"-"&amp;CHAR(10)&amp;TEXT(Таблица2[[#This Row],[конец1]],"Д.МММ") )</f>
        <v>10.янв-
21.янв</v>
      </c>
      <c r="OD13" s="54" t="str">
        <f>IF(Таблица2[[#This Row],[дата нач.2]]=""," ",TEXT(Таблица2[[#This Row],[дата нач.2]],"Д.МММ")&amp;"-"&amp;CHAR(10)&amp;TEXT(Таблица2[[#This Row],[конец2]],"Д.МММ") )</f>
        <v>1.июн-
21.июн</v>
      </c>
      <c r="OE13" s="54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14" spans="1:395" s="3" customFormat="1" x14ac:dyDescent="0.25">
      <c r="A14" s="24">
        <v>7</v>
      </c>
      <c r="B14" s="11" t="s">
        <v>807</v>
      </c>
      <c r="C14" s="11" t="s">
        <v>814</v>
      </c>
      <c r="D14" s="25" t="s">
        <v>11</v>
      </c>
      <c r="E14" s="27">
        <v>44813</v>
      </c>
      <c r="F14" s="26">
        <v>12</v>
      </c>
      <c r="G14" s="12"/>
      <c r="H14" s="11"/>
      <c r="I14" s="11"/>
      <c r="J14" s="11"/>
      <c r="K14" s="13">
        <f t="shared" ref="K14:K15" si="43">SUM(F14,H14,J14)</f>
        <v>12</v>
      </c>
      <c r="L14" s="14" t="str">
        <f t="shared" ca="1" si="40"/>
        <v/>
      </c>
      <c r="M14" s="14" t="str">
        <f t="shared" ca="1" si="40"/>
        <v/>
      </c>
      <c r="N14" s="14" t="str">
        <f t="shared" ca="1" si="40"/>
        <v/>
      </c>
      <c r="O14" s="14" t="str">
        <f t="shared" ca="1" si="40"/>
        <v/>
      </c>
      <c r="P14" s="14" t="str">
        <f t="shared" ca="1" si="40"/>
        <v/>
      </c>
      <c r="Q14" s="14" t="str">
        <f t="shared" ca="1" si="40"/>
        <v/>
      </c>
      <c r="R14" s="14" t="str">
        <f t="shared" ca="1" si="40"/>
        <v/>
      </c>
      <c r="S14" s="14" t="str">
        <f t="shared" ca="1" si="40"/>
        <v/>
      </c>
      <c r="T14" s="14">
        <f t="shared" ca="1" si="40"/>
        <v>1</v>
      </c>
      <c r="U14" s="14" t="str">
        <f t="shared" ca="1" si="40"/>
        <v/>
      </c>
      <c r="V14" s="14" t="str">
        <f t="shared" ca="1" si="40"/>
        <v/>
      </c>
      <c r="W14" s="14" t="str">
        <f t="shared" ca="1" si="40"/>
        <v/>
      </c>
      <c r="X14" s="47"/>
      <c r="Y14" s="47"/>
      <c r="Z14" s="47"/>
      <c r="AA14" s="47"/>
      <c r="AB14" s="47"/>
      <c r="AC14" s="47"/>
      <c r="AD14" s="47"/>
      <c r="AE14" s="47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49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0"/>
      <c r="CM14" s="50"/>
      <c r="CN14" s="50"/>
      <c r="CO14" s="50"/>
      <c r="CP14" s="50"/>
      <c r="CQ14" s="50"/>
      <c r="CR14" s="50"/>
      <c r="CS14" s="50"/>
      <c r="CT14" s="50"/>
      <c r="CU14" s="50"/>
      <c r="CV14" s="50"/>
      <c r="CW14" s="50"/>
      <c r="CX14" s="50"/>
      <c r="CY14" s="50"/>
      <c r="CZ14" s="50"/>
      <c r="DA14" s="50"/>
      <c r="DB14" s="50"/>
      <c r="DC14" s="50"/>
      <c r="DD14" s="50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>
        <v>1</v>
      </c>
      <c r="JP14" s="15">
        <v>1</v>
      </c>
      <c r="JQ14" s="15">
        <v>1</v>
      </c>
      <c r="JR14" s="15">
        <v>1</v>
      </c>
      <c r="JS14" s="15">
        <v>1</v>
      </c>
      <c r="JT14" s="15">
        <v>1</v>
      </c>
      <c r="JU14" s="15">
        <v>1</v>
      </c>
      <c r="JV14" s="15">
        <v>1</v>
      </c>
      <c r="JW14" s="15">
        <v>1</v>
      </c>
      <c r="JX14" s="15">
        <v>1</v>
      </c>
      <c r="JY14" s="15">
        <v>1</v>
      </c>
      <c r="JZ14" s="15">
        <v>1</v>
      </c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8"/>
      <c r="NY14" s="51">
        <f t="shared" ref="NY14:NY15" si="44">SUM(X14:NX14)</f>
        <v>12</v>
      </c>
      <c r="NZ14" s="54">
        <v>44824</v>
      </c>
      <c r="OA14" s="54"/>
      <c r="OB14" s="54"/>
      <c r="OC14" s="54" t="str">
        <f>IF(Таблица2[[#This Row],[дата нач.1]]=""," ",TEXT(Таблица2[[#This Row],[дата нач.1]],"Д.МММ")&amp;"-"&amp;CHAR(10)&amp;TEXT(Таблица2[[#This Row],[конец1]],"Д.МММ") )</f>
        <v>9.сен-
20.сен</v>
      </c>
      <c r="OD14" s="54" t="str">
        <f>IF(Таблица2[[#This Row],[дата нач.2]]=""," ",TEXT(Таблица2[[#This Row],[дата нач.2]],"Д.МММ")&amp;"-"&amp;CHAR(10)&amp;TEXT(Таблица2[[#This Row],[конец2]],"Д.МММ") )</f>
        <v xml:space="preserve"> </v>
      </c>
      <c r="OE14" s="54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15" spans="1:395" s="3" customFormat="1" x14ac:dyDescent="0.25">
      <c r="A15" s="17">
        <v>8</v>
      </c>
      <c r="B15" s="25" t="s">
        <v>16</v>
      </c>
      <c r="C15" s="11" t="s">
        <v>815</v>
      </c>
      <c r="D15" s="25" t="s">
        <v>11</v>
      </c>
      <c r="E15" s="27">
        <v>44594</v>
      </c>
      <c r="F15" s="26">
        <v>20</v>
      </c>
      <c r="G15" s="27">
        <v>44774</v>
      </c>
      <c r="H15" s="11">
        <v>15</v>
      </c>
      <c r="I15" s="11"/>
      <c r="J15" s="11"/>
      <c r="K15" s="13">
        <f t="shared" si="43"/>
        <v>35</v>
      </c>
      <c r="L15" s="14" t="str">
        <f t="shared" ca="1" si="40"/>
        <v/>
      </c>
      <c r="M15" s="14">
        <f t="shared" ca="1" si="40"/>
        <v>0.5714285714285714</v>
      </c>
      <c r="N15" s="14" t="str">
        <f t="shared" ca="1" si="40"/>
        <v/>
      </c>
      <c r="O15" s="14" t="str">
        <f t="shared" ca="1" si="40"/>
        <v/>
      </c>
      <c r="P15" s="14" t="str">
        <f t="shared" ca="1" si="40"/>
        <v/>
      </c>
      <c r="Q15" s="14" t="str">
        <f t="shared" ca="1" si="40"/>
        <v/>
      </c>
      <c r="R15" s="14" t="str">
        <f t="shared" ca="1" si="40"/>
        <v/>
      </c>
      <c r="S15" s="14">
        <f t="shared" ca="1" si="40"/>
        <v>0.42857142857142855</v>
      </c>
      <c r="T15" s="14" t="str">
        <f t="shared" ca="1" si="40"/>
        <v/>
      </c>
      <c r="U15" s="14" t="str">
        <f t="shared" ca="1" si="40"/>
        <v/>
      </c>
      <c r="V15" s="14" t="str">
        <f t="shared" ca="1" si="40"/>
        <v/>
      </c>
      <c r="W15" s="14" t="str">
        <f t="shared" ca="1" si="40"/>
        <v/>
      </c>
      <c r="X15" s="47"/>
      <c r="Y15" s="47"/>
      <c r="Z15" s="47"/>
      <c r="AA15" s="47"/>
      <c r="AB15" s="47"/>
      <c r="AC15" s="47"/>
      <c r="AD15" s="47"/>
      <c r="AE15" s="47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>
        <v>1</v>
      </c>
      <c r="BE15" s="49">
        <v>1</v>
      </c>
      <c r="BF15" s="49">
        <v>1</v>
      </c>
      <c r="BG15" s="49">
        <v>1</v>
      </c>
      <c r="BH15" s="49">
        <v>1</v>
      </c>
      <c r="BI15" s="49">
        <v>1</v>
      </c>
      <c r="BJ15" s="49">
        <v>1</v>
      </c>
      <c r="BK15" s="49">
        <v>1</v>
      </c>
      <c r="BL15" s="49">
        <v>1</v>
      </c>
      <c r="BM15" s="49">
        <v>1</v>
      </c>
      <c r="BN15" s="49">
        <v>1</v>
      </c>
      <c r="BO15" s="49">
        <v>1</v>
      </c>
      <c r="BP15" s="50">
        <v>1</v>
      </c>
      <c r="BQ15" s="50">
        <v>1</v>
      </c>
      <c r="BR15" s="50">
        <v>1</v>
      </c>
      <c r="BS15" s="50">
        <v>1</v>
      </c>
      <c r="BT15" s="50">
        <v>1</v>
      </c>
      <c r="BU15" s="50">
        <v>1</v>
      </c>
      <c r="BV15" s="50">
        <v>1</v>
      </c>
      <c r="BW15" s="50">
        <v>1</v>
      </c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  <c r="CJ15" s="50"/>
      <c r="CK15" s="50"/>
      <c r="CL15" s="50"/>
      <c r="CM15" s="50"/>
      <c r="CN15" s="50"/>
      <c r="CO15" s="50"/>
      <c r="CP15" s="50"/>
      <c r="CQ15" s="50"/>
      <c r="CR15" s="50"/>
      <c r="CS15" s="50"/>
      <c r="CT15" s="50"/>
      <c r="CU15" s="50"/>
      <c r="CV15" s="50"/>
      <c r="CW15" s="50"/>
      <c r="CX15" s="50"/>
      <c r="CY15" s="50"/>
      <c r="CZ15" s="50"/>
      <c r="DA15" s="50"/>
      <c r="DB15" s="50"/>
      <c r="DC15" s="50"/>
      <c r="DD15" s="50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>
        <v>1</v>
      </c>
      <c r="IC15" s="15">
        <v>1</v>
      </c>
      <c r="ID15" s="15">
        <v>1</v>
      </c>
      <c r="IE15" s="15">
        <v>1</v>
      </c>
      <c r="IF15" s="15">
        <v>1</v>
      </c>
      <c r="IG15" s="15">
        <v>1</v>
      </c>
      <c r="IH15" s="15">
        <v>1</v>
      </c>
      <c r="II15" s="15">
        <v>1</v>
      </c>
      <c r="IJ15" s="15">
        <v>1</v>
      </c>
      <c r="IK15" s="15">
        <v>1</v>
      </c>
      <c r="IL15" s="15">
        <v>1</v>
      </c>
      <c r="IM15" s="15">
        <v>1</v>
      </c>
      <c r="IN15" s="15">
        <v>1</v>
      </c>
      <c r="IO15" s="15">
        <v>1</v>
      </c>
      <c r="IP15" s="15">
        <v>1</v>
      </c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8"/>
      <c r="NY15" s="51">
        <f t="shared" si="44"/>
        <v>35</v>
      </c>
      <c r="NZ15" s="54">
        <v>44613</v>
      </c>
      <c r="OA15" s="54">
        <v>44788</v>
      </c>
      <c r="OB15" s="54"/>
      <c r="OC15" s="54" t="str">
        <f>IF(Таблица2[[#This Row],[дата нач.1]]=""," ",TEXT(Таблица2[[#This Row],[дата нач.1]],"Д.МММ")&amp;"-"&amp;CHAR(10)&amp;TEXT(Таблица2[[#This Row],[конец1]],"Д.МММ") )</f>
        <v>2.фев-
21.фев</v>
      </c>
      <c r="OD15" s="54" t="str">
        <f>IF(Таблица2[[#This Row],[дата нач.2]]=""," ",TEXT(Таблица2[[#This Row],[дата нач.2]],"Д.МММ")&amp;"-"&amp;CHAR(10)&amp;TEXT(Таблица2[[#This Row],[конец2]],"Д.МММ") )</f>
        <v>1.авг-
15.авг</v>
      </c>
      <c r="OE15" s="54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16" spans="1:395" s="3" customFormat="1" x14ac:dyDescent="0.25">
      <c r="A16" s="24">
        <v>9</v>
      </c>
      <c r="B16" s="25" t="s">
        <v>16</v>
      </c>
      <c r="C16" s="11" t="s">
        <v>816</v>
      </c>
      <c r="D16" s="25" t="s">
        <v>11</v>
      </c>
      <c r="E16" s="27">
        <v>44571</v>
      </c>
      <c r="F16" s="26">
        <v>12</v>
      </c>
      <c r="G16" s="12"/>
      <c r="H16" s="11"/>
      <c r="I16" s="11"/>
      <c r="J16" s="11"/>
      <c r="K16" s="13">
        <f t="shared" ref="K16:K18" si="45">SUM(F16,H16,J16)</f>
        <v>12</v>
      </c>
      <c r="L16" s="14">
        <f t="shared" ca="1" si="40"/>
        <v>1</v>
      </c>
      <c r="M16" s="14" t="str">
        <f t="shared" ca="1" si="40"/>
        <v/>
      </c>
      <c r="N16" s="14" t="str">
        <f t="shared" ca="1" si="40"/>
        <v/>
      </c>
      <c r="O16" s="14" t="str">
        <f t="shared" ca="1" si="40"/>
        <v/>
      </c>
      <c r="P16" s="14" t="str">
        <f t="shared" ca="1" si="40"/>
        <v/>
      </c>
      <c r="Q16" s="14" t="str">
        <f t="shared" ca="1" si="40"/>
        <v/>
      </c>
      <c r="R16" s="14" t="str">
        <f t="shared" ca="1" si="40"/>
        <v/>
      </c>
      <c r="S16" s="14" t="str">
        <f t="shared" ca="1" si="40"/>
        <v/>
      </c>
      <c r="T16" s="14" t="str">
        <f t="shared" ca="1" si="40"/>
        <v/>
      </c>
      <c r="U16" s="14" t="str">
        <f t="shared" ca="1" si="40"/>
        <v/>
      </c>
      <c r="V16" s="14" t="str">
        <f t="shared" ca="1" si="40"/>
        <v/>
      </c>
      <c r="W16" s="14" t="str">
        <f t="shared" ca="1" si="40"/>
        <v/>
      </c>
      <c r="X16" s="47"/>
      <c r="Y16" s="47"/>
      <c r="Z16" s="47"/>
      <c r="AA16" s="47"/>
      <c r="AB16" s="47"/>
      <c r="AC16" s="47"/>
      <c r="AD16" s="47"/>
      <c r="AE16" s="47"/>
      <c r="AF16" s="49"/>
      <c r="AG16" s="49">
        <v>1</v>
      </c>
      <c r="AH16" s="49">
        <v>1</v>
      </c>
      <c r="AI16" s="49">
        <v>1</v>
      </c>
      <c r="AJ16" s="49">
        <v>1</v>
      </c>
      <c r="AK16" s="49">
        <v>1</v>
      </c>
      <c r="AL16" s="49">
        <v>1</v>
      </c>
      <c r="AM16" s="49">
        <v>1</v>
      </c>
      <c r="AN16" s="49">
        <v>1</v>
      </c>
      <c r="AO16" s="49">
        <v>1</v>
      </c>
      <c r="AP16" s="49">
        <v>1</v>
      </c>
      <c r="AQ16" s="49">
        <v>1</v>
      </c>
      <c r="AR16" s="49">
        <v>1</v>
      </c>
      <c r="AS16" s="49"/>
      <c r="AT16" s="49"/>
      <c r="AU16" s="49"/>
      <c r="AV16" s="49"/>
      <c r="AW16" s="49"/>
      <c r="AX16" s="49"/>
      <c r="AY16" s="49"/>
      <c r="AZ16" s="49"/>
      <c r="BA16" s="49"/>
      <c r="BB16" s="49"/>
      <c r="BC16" s="49"/>
      <c r="BD16" s="49"/>
      <c r="BE16" s="49"/>
      <c r="BF16" s="49"/>
      <c r="BG16" s="49"/>
      <c r="BH16" s="49"/>
      <c r="BI16" s="49"/>
      <c r="BJ16" s="49"/>
      <c r="BK16" s="49"/>
      <c r="BL16" s="49"/>
      <c r="BM16" s="49"/>
      <c r="BN16" s="49"/>
      <c r="BO16" s="49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  <c r="CJ16" s="50"/>
      <c r="CK16" s="50"/>
      <c r="CL16" s="50"/>
      <c r="CM16" s="50"/>
      <c r="CN16" s="50"/>
      <c r="CO16" s="50"/>
      <c r="CP16" s="50"/>
      <c r="CQ16" s="50"/>
      <c r="CR16" s="50"/>
      <c r="CS16" s="50"/>
      <c r="CT16" s="50"/>
      <c r="CU16" s="50"/>
      <c r="CV16" s="50"/>
      <c r="CW16" s="50"/>
      <c r="CX16" s="50"/>
      <c r="CY16" s="50"/>
      <c r="CZ16" s="50"/>
      <c r="DA16" s="50"/>
      <c r="DB16" s="50"/>
      <c r="DC16" s="50"/>
      <c r="DD16" s="50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8"/>
      <c r="NY16" s="51">
        <f t="shared" ref="NY16:NY18" si="46">SUM(X16:NX16)</f>
        <v>12</v>
      </c>
      <c r="NZ16" s="54">
        <v>44582</v>
      </c>
      <c r="OA16" s="54"/>
      <c r="OB16" s="54"/>
      <c r="OC16" s="54" t="str">
        <f>IF(Таблица2[[#This Row],[дата нач.1]]=""," ",TEXT(Таблица2[[#This Row],[дата нач.1]],"Д.МММ")&amp;"-"&amp;CHAR(10)&amp;TEXT(Таблица2[[#This Row],[конец1]],"Д.МММ") )</f>
        <v>10.янв-
21.янв</v>
      </c>
      <c r="OD16" s="54" t="str">
        <f>IF(Таблица2[[#This Row],[дата нач.2]]=""," ",TEXT(Таблица2[[#This Row],[дата нач.2]],"Д.МММ")&amp;"-"&amp;CHAR(10)&amp;TEXT(Таблица2[[#This Row],[конец2]],"Д.МММ") )</f>
        <v xml:space="preserve"> </v>
      </c>
      <c r="OE16" s="54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17" spans="1:395" s="3" customFormat="1" x14ac:dyDescent="0.25">
      <c r="A17" s="17">
        <v>10</v>
      </c>
      <c r="B17" s="25" t="s">
        <v>16</v>
      </c>
      <c r="C17" s="11" t="s">
        <v>817</v>
      </c>
      <c r="D17" s="25" t="s">
        <v>11</v>
      </c>
      <c r="E17" s="27">
        <v>44601</v>
      </c>
      <c r="F17" s="26">
        <v>12</v>
      </c>
      <c r="G17" s="27">
        <v>44780</v>
      </c>
      <c r="H17" s="11">
        <v>10</v>
      </c>
      <c r="I17" s="11"/>
      <c r="J17" s="11"/>
      <c r="K17" s="13">
        <f t="shared" si="45"/>
        <v>22</v>
      </c>
      <c r="L17" s="14" t="str">
        <f t="shared" ca="1" si="40"/>
        <v/>
      </c>
      <c r="M17" s="14">
        <f t="shared" ca="1" si="40"/>
        <v>0.54545454545454541</v>
      </c>
      <c r="N17" s="14" t="str">
        <f t="shared" ca="1" si="40"/>
        <v/>
      </c>
      <c r="O17" s="14" t="str">
        <f t="shared" ca="1" si="40"/>
        <v/>
      </c>
      <c r="P17" s="14" t="str">
        <f t="shared" ca="1" si="40"/>
        <v/>
      </c>
      <c r="Q17" s="14" t="str">
        <f t="shared" ca="1" si="40"/>
        <v/>
      </c>
      <c r="R17" s="14" t="str">
        <f t="shared" ca="1" si="40"/>
        <v/>
      </c>
      <c r="S17" s="14">
        <f t="shared" ca="1" si="40"/>
        <v>0.45454545454545453</v>
      </c>
      <c r="T17" s="14" t="str">
        <f t="shared" ca="1" si="40"/>
        <v/>
      </c>
      <c r="U17" s="14" t="str">
        <f t="shared" ca="1" si="40"/>
        <v/>
      </c>
      <c r="V17" s="14" t="str">
        <f t="shared" ca="1" si="40"/>
        <v/>
      </c>
      <c r="W17" s="14" t="str">
        <f t="shared" ca="1" si="40"/>
        <v/>
      </c>
      <c r="X17" s="47"/>
      <c r="Y17" s="47"/>
      <c r="Z17" s="47"/>
      <c r="AA17" s="47"/>
      <c r="AB17" s="47"/>
      <c r="AC17" s="47"/>
      <c r="AD17" s="47"/>
      <c r="AE17" s="47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49"/>
      <c r="BG17" s="49"/>
      <c r="BH17" s="49"/>
      <c r="BI17" s="49"/>
      <c r="BJ17" s="49"/>
      <c r="BK17" s="49">
        <v>1</v>
      </c>
      <c r="BL17" s="49">
        <v>1</v>
      </c>
      <c r="BM17" s="49">
        <v>1</v>
      </c>
      <c r="BN17" s="49">
        <v>1</v>
      </c>
      <c r="BO17" s="49">
        <v>1</v>
      </c>
      <c r="BP17" s="50">
        <v>1</v>
      </c>
      <c r="BQ17" s="50">
        <v>1</v>
      </c>
      <c r="BR17" s="50">
        <v>1</v>
      </c>
      <c r="BS17" s="50">
        <v>1</v>
      </c>
      <c r="BT17" s="50">
        <v>1</v>
      </c>
      <c r="BU17" s="50">
        <v>1</v>
      </c>
      <c r="BV17" s="50">
        <v>1</v>
      </c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>
        <v>1</v>
      </c>
      <c r="II17" s="15">
        <v>1</v>
      </c>
      <c r="IJ17" s="15">
        <v>1</v>
      </c>
      <c r="IK17" s="15">
        <v>1</v>
      </c>
      <c r="IL17" s="15">
        <v>1</v>
      </c>
      <c r="IM17" s="15">
        <v>1</v>
      </c>
      <c r="IN17" s="15">
        <v>1</v>
      </c>
      <c r="IO17" s="15">
        <v>1</v>
      </c>
      <c r="IP17" s="15">
        <v>1</v>
      </c>
      <c r="IQ17" s="15">
        <v>1</v>
      </c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8"/>
      <c r="NY17" s="51">
        <f t="shared" si="46"/>
        <v>22</v>
      </c>
      <c r="NZ17" s="54">
        <v>44612</v>
      </c>
      <c r="OA17" s="54">
        <v>44789</v>
      </c>
      <c r="OB17" s="54"/>
      <c r="OC17" s="54" t="str">
        <f>IF(Таблица2[[#This Row],[дата нач.1]]=""," ",TEXT(Таблица2[[#This Row],[дата нач.1]],"Д.МММ")&amp;"-"&amp;CHAR(10)&amp;TEXT(Таблица2[[#This Row],[конец1]],"Д.МММ") )</f>
        <v>9.фев-
20.фев</v>
      </c>
      <c r="OD17" s="54" t="str">
        <f>IF(Таблица2[[#This Row],[дата нач.2]]=""," ",TEXT(Таблица2[[#This Row],[дата нач.2]],"Д.МММ")&amp;"-"&amp;CHAR(10)&amp;TEXT(Таблица2[[#This Row],[конец2]],"Д.МММ") )</f>
        <v>7.авг-
16.авг</v>
      </c>
      <c r="OE17" s="54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18" spans="1:395" s="3" customFormat="1" x14ac:dyDescent="0.25">
      <c r="A18" s="24">
        <v>11</v>
      </c>
      <c r="B18" s="25" t="s">
        <v>16</v>
      </c>
      <c r="C18" s="25" t="s">
        <v>818</v>
      </c>
      <c r="D18" s="25" t="s">
        <v>11</v>
      </c>
      <c r="E18" s="27">
        <v>44813</v>
      </c>
      <c r="F18" s="26">
        <v>12</v>
      </c>
      <c r="G18" s="27"/>
      <c r="H18" s="25"/>
      <c r="I18" s="25"/>
      <c r="J18" s="25"/>
      <c r="K18" s="28">
        <f t="shared" si="45"/>
        <v>12</v>
      </c>
      <c r="L18" s="14" t="str">
        <f t="shared" ca="1" si="40"/>
        <v/>
      </c>
      <c r="M18" s="14" t="str">
        <f t="shared" ca="1" si="40"/>
        <v/>
      </c>
      <c r="N18" s="14" t="str">
        <f t="shared" ca="1" si="40"/>
        <v/>
      </c>
      <c r="O18" s="14" t="str">
        <f t="shared" ca="1" si="40"/>
        <v/>
      </c>
      <c r="P18" s="14" t="str">
        <f t="shared" ca="1" si="40"/>
        <v/>
      </c>
      <c r="Q18" s="14" t="str">
        <f t="shared" ca="1" si="40"/>
        <v/>
      </c>
      <c r="R18" s="14" t="str">
        <f t="shared" ca="1" si="40"/>
        <v/>
      </c>
      <c r="S18" s="14" t="str">
        <f t="shared" ca="1" si="40"/>
        <v/>
      </c>
      <c r="T18" s="14">
        <f t="shared" ca="1" si="40"/>
        <v>1</v>
      </c>
      <c r="U18" s="14" t="str">
        <f t="shared" ca="1" si="40"/>
        <v/>
      </c>
      <c r="V18" s="14" t="str">
        <f t="shared" ca="1" si="40"/>
        <v/>
      </c>
      <c r="W18" s="14" t="str">
        <f t="shared" ca="1" si="40"/>
        <v/>
      </c>
      <c r="X18" s="29"/>
      <c r="Y18" s="29"/>
      <c r="Z18" s="29"/>
      <c r="AA18" s="29"/>
      <c r="AB18" s="29"/>
      <c r="AC18" s="29"/>
      <c r="AD18" s="29"/>
      <c r="AE18" s="29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2"/>
      <c r="DF18" s="32"/>
      <c r="DG18" s="32"/>
      <c r="DH18" s="32"/>
      <c r="DI18" s="32"/>
      <c r="DJ18" s="32"/>
      <c r="DK18" s="32"/>
      <c r="DL18" s="32"/>
      <c r="DM18" s="32"/>
      <c r="DN18" s="32"/>
      <c r="DO18" s="32"/>
      <c r="DP18" s="32"/>
      <c r="DQ18" s="32"/>
      <c r="DR18" s="32"/>
      <c r="DS18" s="32"/>
      <c r="DT18" s="32"/>
      <c r="DU18" s="32"/>
      <c r="DV18" s="32"/>
      <c r="DW18" s="32"/>
      <c r="DX18" s="32"/>
      <c r="DY18" s="32"/>
      <c r="DZ18" s="32"/>
      <c r="EA18" s="32"/>
      <c r="EB18" s="32"/>
      <c r="EC18" s="32"/>
      <c r="ED18" s="32"/>
      <c r="EE18" s="32"/>
      <c r="EF18" s="32"/>
      <c r="EG18" s="32"/>
      <c r="EH18" s="32"/>
      <c r="EI18" s="32"/>
      <c r="EJ18" s="32"/>
      <c r="EK18" s="32"/>
      <c r="EL18" s="32"/>
      <c r="EM18" s="32"/>
      <c r="EN18" s="32"/>
      <c r="EO18" s="32"/>
      <c r="EP18" s="32"/>
      <c r="EQ18" s="32"/>
      <c r="ER18" s="32"/>
      <c r="ES18" s="32"/>
      <c r="ET18" s="32"/>
      <c r="EU18" s="32"/>
      <c r="EV18" s="32"/>
      <c r="EW18" s="32"/>
      <c r="EX18" s="32"/>
      <c r="EY18" s="32"/>
      <c r="EZ18" s="32"/>
      <c r="FA18" s="32"/>
      <c r="FB18" s="32"/>
      <c r="FC18" s="32"/>
      <c r="FD18" s="32"/>
      <c r="FE18" s="32"/>
      <c r="FF18" s="32"/>
      <c r="FG18" s="32"/>
      <c r="FH18" s="32"/>
      <c r="FI18" s="32"/>
      <c r="FJ18" s="32"/>
      <c r="FK18" s="32"/>
      <c r="FL18" s="32"/>
      <c r="FM18" s="32"/>
      <c r="FN18" s="32"/>
      <c r="FO18" s="32"/>
      <c r="FP18" s="32"/>
      <c r="FQ18" s="32"/>
      <c r="FR18" s="32"/>
      <c r="FS18" s="32"/>
      <c r="FT18" s="32"/>
      <c r="FU18" s="32"/>
      <c r="FV18" s="32"/>
      <c r="FW18" s="32"/>
      <c r="FX18" s="32"/>
      <c r="FY18" s="32"/>
      <c r="FZ18" s="32"/>
      <c r="GA18" s="32"/>
      <c r="GB18" s="32"/>
      <c r="GC18" s="32"/>
      <c r="GD18" s="32"/>
      <c r="GE18" s="32"/>
      <c r="GF18" s="32"/>
      <c r="GG18" s="32"/>
      <c r="GH18" s="32"/>
      <c r="GI18" s="32"/>
      <c r="GJ18" s="32"/>
      <c r="GK18" s="32"/>
      <c r="GL18" s="32"/>
      <c r="GM18" s="32"/>
      <c r="GN18" s="32"/>
      <c r="GO18" s="32"/>
      <c r="GP18" s="32"/>
      <c r="GQ18" s="32"/>
      <c r="GR18" s="32"/>
      <c r="GS18" s="32"/>
      <c r="GT18" s="32"/>
      <c r="GU18" s="32"/>
      <c r="GV18" s="32"/>
      <c r="GW18" s="32"/>
      <c r="GX18" s="32"/>
      <c r="GY18" s="32"/>
      <c r="GZ18" s="32"/>
      <c r="HA18" s="32"/>
      <c r="HB18" s="32"/>
      <c r="HC18" s="32"/>
      <c r="HD18" s="32"/>
      <c r="HE18" s="32"/>
      <c r="HF18" s="32"/>
      <c r="HG18" s="32"/>
      <c r="HH18" s="32"/>
      <c r="HI18" s="32"/>
      <c r="HJ18" s="32"/>
      <c r="HK18" s="32"/>
      <c r="HL18" s="32"/>
      <c r="HM18" s="32"/>
      <c r="HN18" s="32"/>
      <c r="HO18" s="32"/>
      <c r="HP18" s="32"/>
      <c r="HQ18" s="32"/>
      <c r="HR18" s="32"/>
      <c r="HS18" s="32"/>
      <c r="HT18" s="32"/>
      <c r="HU18" s="32"/>
      <c r="HV18" s="32"/>
      <c r="HW18" s="32"/>
      <c r="HX18" s="32"/>
      <c r="HY18" s="32"/>
      <c r="HZ18" s="32"/>
      <c r="IA18" s="32"/>
      <c r="IB18" s="32"/>
      <c r="IC18" s="32"/>
      <c r="ID18" s="32"/>
      <c r="IE18" s="32"/>
      <c r="IF18" s="32"/>
      <c r="IG18" s="32"/>
      <c r="IH18" s="32"/>
      <c r="II18" s="32"/>
      <c r="IJ18" s="32"/>
      <c r="IK18" s="32"/>
      <c r="IL18" s="32"/>
      <c r="IM18" s="32"/>
      <c r="IN18" s="32"/>
      <c r="IO18" s="32"/>
      <c r="IP18" s="32"/>
      <c r="IQ18" s="32"/>
      <c r="IR18" s="32"/>
      <c r="IS18" s="32"/>
      <c r="IT18" s="32"/>
      <c r="IU18" s="32"/>
      <c r="IV18" s="32"/>
      <c r="IW18" s="32"/>
      <c r="IX18" s="32"/>
      <c r="IY18" s="32"/>
      <c r="IZ18" s="32"/>
      <c r="JA18" s="32"/>
      <c r="JB18" s="32"/>
      <c r="JC18" s="32"/>
      <c r="JD18" s="32"/>
      <c r="JE18" s="32"/>
      <c r="JF18" s="32"/>
      <c r="JG18" s="32"/>
      <c r="JH18" s="32"/>
      <c r="JI18" s="32"/>
      <c r="JJ18" s="32"/>
      <c r="JK18" s="32"/>
      <c r="JL18" s="32"/>
      <c r="JM18" s="32"/>
      <c r="JN18" s="32"/>
      <c r="JO18" s="32">
        <v>1</v>
      </c>
      <c r="JP18" s="32">
        <v>1</v>
      </c>
      <c r="JQ18" s="32">
        <v>1</v>
      </c>
      <c r="JR18" s="32">
        <v>1</v>
      </c>
      <c r="JS18" s="32">
        <v>1</v>
      </c>
      <c r="JT18" s="32">
        <v>1</v>
      </c>
      <c r="JU18" s="32">
        <v>1</v>
      </c>
      <c r="JV18" s="32">
        <v>1</v>
      </c>
      <c r="JW18" s="32">
        <v>1</v>
      </c>
      <c r="JX18" s="32">
        <v>1</v>
      </c>
      <c r="JY18" s="32">
        <v>1</v>
      </c>
      <c r="JZ18" s="32">
        <v>1</v>
      </c>
      <c r="KA18" s="32"/>
      <c r="KB18" s="32"/>
      <c r="KC18" s="32"/>
      <c r="KD18" s="32"/>
      <c r="KE18" s="32"/>
      <c r="KF18" s="32"/>
      <c r="KG18" s="32"/>
      <c r="KH18" s="32"/>
      <c r="KI18" s="32"/>
      <c r="KJ18" s="32"/>
      <c r="KK18" s="32"/>
      <c r="KL18" s="32"/>
      <c r="KM18" s="32"/>
      <c r="KN18" s="32"/>
      <c r="KO18" s="32"/>
      <c r="KP18" s="32"/>
      <c r="KQ18" s="32"/>
      <c r="KR18" s="32"/>
      <c r="KS18" s="32"/>
      <c r="KT18" s="32"/>
      <c r="KU18" s="32"/>
      <c r="KV18" s="32"/>
      <c r="KW18" s="32"/>
      <c r="KX18" s="32"/>
      <c r="KY18" s="32"/>
      <c r="KZ18" s="32"/>
      <c r="LA18" s="32"/>
      <c r="LB18" s="32"/>
      <c r="LC18" s="32"/>
      <c r="LD18" s="32"/>
      <c r="LE18" s="32"/>
      <c r="LF18" s="32"/>
      <c r="LG18" s="32"/>
      <c r="LH18" s="32"/>
      <c r="LI18" s="32"/>
      <c r="LJ18" s="32"/>
      <c r="LK18" s="32"/>
      <c r="LL18" s="32"/>
      <c r="LM18" s="32"/>
      <c r="LN18" s="32"/>
      <c r="LO18" s="32"/>
      <c r="LP18" s="32"/>
      <c r="LQ18" s="32"/>
      <c r="LR18" s="32"/>
      <c r="LS18" s="32"/>
      <c r="LT18" s="32"/>
      <c r="LU18" s="32"/>
      <c r="LV18" s="32"/>
      <c r="LW18" s="32"/>
      <c r="LX18" s="32"/>
      <c r="LY18" s="32"/>
      <c r="LZ18" s="32"/>
      <c r="MA18" s="32"/>
      <c r="MB18" s="32"/>
      <c r="MC18" s="32"/>
      <c r="MD18" s="32"/>
      <c r="ME18" s="32"/>
      <c r="MF18" s="32"/>
      <c r="MG18" s="32"/>
      <c r="MH18" s="32"/>
      <c r="MI18" s="32"/>
      <c r="MJ18" s="32"/>
      <c r="MK18" s="32"/>
      <c r="ML18" s="32"/>
      <c r="MM18" s="32"/>
      <c r="MN18" s="32"/>
      <c r="MO18" s="32"/>
      <c r="MP18" s="32"/>
      <c r="MQ18" s="32"/>
      <c r="MR18" s="32"/>
      <c r="MS18" s="32"/>
      <c r="MT18" s="32"/>
      <c r="MU18" s="32"/>
      <c r="MV18" s="32"/>
      <c r="MW18" s="32"/>
      <c r="MX18" s="32"/>
      <c r="MY18" s="32"/>
      <c r="MZ18" s="32"/>
      <c r="NA18" s="32"/>
      <c r="NB18" s="32"/>
      <c r="NC18" s="32"/>
      <c r="ND18" s="32"/>
      <c r="NE18" s="32"/>
      <c r="NF18" s="32"/>
      <c r="NG18" s="32"/>
      <c r="NH18" s="32"/>
      <c r="NI18" s="32"/>
      <c r="NJ18" s="32"/>
      <c r="NK18" s="32"/>
      <c r="NL18" s="32"/>
      <c r="NM18" s="32"/>
      <c r="NN18" s="32"/>
      <c r="NO18" s="32"/>
      <c r="NP18" s="32"/>
      <c r="NQ18" s="32"/>
      <c r="NR18" s="32"/>
      <c r="NS18" s="32"/>
      <c r="NT18" s="32"/>
      <c r="NU18" s="32"/>
      <c r="NV18" s="32"/>
      <c r="NW18" s="32"/>
      <c r="NX18" s="33"/>
      <c r="NY18" s="41">
        <f t="shared" si="46"/>
        <v>12</v>
      </c>
      <c r="NZ18" s="54">
        <v>44824</v>
      </c>
      <c r="OA18" s="54"/>
      <c r="OB18" s="54"/>
      <c r="OC18" s="54" t="str">
        <f>IF(Таблица2[[#This Row],[дата нач.1]]=""," ",TEXT(Таблица2[[#This Row],[дата нач.1]],"Д.МММ")&amp;"-"&amp;CHAR(10)&amp;TEXT(Таблица2[[#This Row],[конец1]],"Д.МММ") )</f>
        <v>9.сен-
20.сен</v>
      </c>
      <c r="OD18" s="54" t="str">
        <f>IF(Таблица2[[#This Row],[дата нач.2]]=""," ",TEXT(Таблица2[[#This Row],[дата нач.2]],"Д.МММ")&amp;"-"&amp;CHAR(10)&amp;TEXT(Таблица2[[#This Row],[конец2]],"Д.МММ") )</f>
        <v xml:space="preserve"> </v>
      </c>
      <c r="OE18" s="54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19" spans="1:395" s="3" customFormat="1" x14ac:dyDescent="0.25">
      <c r="A19" s="34">
        <v>12</v>
      </c>
      <c r="B19" s="25" t="s">
        <v>16</v>
      </c>
      <c r="C19" s="25" t="s">
        <v>819</v>
      </c>
      <c r="D19" s="25" t="s">
        <v>11</v>
      </c>
      <c r="E19" s="27">
        <v>44652</v>
      </c>
      <c r="F19" s="25">
        <v>20</v>
      </c>
      <c r="G19" s="27"/>
      <c r="H19" s="25"/>
      <c r="I19" s="25"/>
      <c r="J19" s="25"/>
      <c r="K19" s="28">
        <f>SUM(F19,H19,J19)</f>
        <v>20</v>
      </c>
      <c r="L19" s="40" t="str">
        <f t="shared" ref="L19:W19" ca="1" si="47">IF(SUMIF($X$6:$NX$6,MONTH(L$5),$X19:$DI19)/$NY19=0,"",SUMIF($X$6:$NX$6,MONTH(L$5),$X19:$NX19)/$NY19)</f>
        <v/>
      </c>
      <c r="M19" s="40" t="str">
        <f t="shared" ca="1" si="47"/>
        <v/>
      </c>
      <c r="N19" s="40" t="str">
        <f t="shared" ca="1" si="47"/>
        <v/>
      </c>
      <c r="O19" s="40">
        <f t="shared" ca="1" si="47"/>
        <v>1</v>
      </c>
      <c r="P19" s="40" t="str">
        <f t="shared" ca="1" si="47"/>
        <v/>
      </c>
      <c r="Q19" s="40" t="str">
        <f t="shared" ca="1" si="47"/>
        <v/>
      </c>
      <c r="R19" s="40" t="str">
        <f t="shared" ca="1" si="47"/>
        <v/>
      </c>
      <c r="S19" s="40" t="str">
        <f t="shared" ca="1" si="47"/>
        <v/>
      </c>
      <c r="T19" s="40" t="str">
        <f t="shared" ca="1" si="47"/>
        <v/>
      </c>
      <c r="U19" s="40" t="str">
        <f t="shared" ca="1" si="47"/>
        <v/>
      </c>
      <c r="V19" s="40" t="str">
        <f t="shared" ca="1" si="47"/>
        <v/>
      </c>
      <c r="W19" s="40" t="str">
        <f t="shared" ca="1" si="47"/>
        <v/>
      </c>
      <c r="X19" s="29"/>
      <c r="Y19" s="29"/>
      <c r="Z19" s="29"/>
      <c r="AA19" s="29"/>
      <c r="AB19" s="29"/>
      <c r="AC19" s="29"/>
      <c r="AD19" s="29"/>
      <c r="AE19" s="29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2"/>
      <c r="DF19" s="32"/>
      <c r="DG19" s="32"/>
      <c r="DH19" s="32"/>
      <c r="DI19" s="32"/>
      <c r="DJ19" s="32">
        <v>1</v>
      </c>
      <c r="DK19" s="32">
        <v>1</v>
      </c>
      <c r="DL19" s="32">
        <v>1</v>
      </c>
      <c r="DM19" s="32">
        <v>1</v>
      </c>
      <c r="DN19" s="32">
        <v>1</v>
      </c>
      <c r="DO19" s="32">
        <v>1</v>
      </c>
      <c r="DP19" s="32">
        <v>1</v>
      </c>
      <c r="DQ19" s="32">
        <v>1</v>
      </c>
      <c r="DR19" s="32">
        <v>1</v>
      </c>
      <c r="DS19" s="32">
        <v>1</v>
      </c>
      <c r="DT19" s="32">
        <v>1</v>
      </c>
      <c r="DU19" s="32">
        <v>1</v>
      </c>
      <c r="DV19" s="32">
        <v>1</v>
      </c>
      <c r="DW19" s="32">
        <v>1</v>
      </c>
      <c r="DX19" s="32">
        <v>1</v>
      </c>
      <c r="DY19" s="32">
        <v>1</v>
      </c>
      <c r="DZ19" s="32">
        <v>1</v>
      </c>
      <c r="EA19" s="32">
        <v>1</v>
      </c>
      <c r="EB19" s="32">
        <v>1</v>
      </c>
      <c r="EC19" s="32">
        <v>1</v>
      </c>
      <c r="ED19" s="32"/>
      <c r="EE19" s="32"/>
      <c r="EF19" s="32"/>
      <c r="EG19" s="32"/>
      <c r="EH19" s="32"/>
      <c r="EI19" s="32"/>
      <c r="EJ19" s="32"/>
      <c r="EK19" s="32"/>
      <c r="EL19" s="32"/>
      <c r="EM19" s="32"/>
      <c r="EN19" s="32"/>
      <c r="EO19" s="32"/>
      <c r="EP19" s="32"/>
      <c r="EQ19" s="32"/>
      <c r="ER19" s="32"/>
      <c r="ES19" s="32"/>
      <c r="ET19" s="32"/>
      <c r="EU19" s="32"/>
      <c r="EV19" s="32"/>
      <c r="EW19" s="32"/>
      <c r="EX19" s="32"/>
      <c r="EY19" s="32"/>
      <c r="EZ19" s="32"/>
      <c r="FA19" s="32"/>
      <c r="FB19" s="32"/>
      <c r="FC19" s="32"/>
      <c r="FD19" s="32"/>
      <c r="FE19" s="32"/>
      <c r="FF19" s="32"/>
      <c r="FG19" s="32"/>
      <c r="FH19" s="32"/>
      <c r="FI19" s="32"/>
      <c r="FJ19" s="32"/>
      <c r="FK19" s="32"/>
      <c r="FL19" s="32"/>
      <c r="FM19" s="32"/>
      <c r="FN19" s="32"/>
      <c r="FO19" s="32"/>
      <c r="FP19" s="32"/>
      <c r="FQ19" s="32"/>
      <c r="FR19" s="32"/>
      <c r="FS19" s="32"/>
      <c r="FT19" s="32"/>
      <c r="FU19" s="32"/>
      <c r="FV19" s="32"/>
      <c r="FW19" s="32"/>
      <c r="FX19" s="32"/>
      <c r="FY19" s="32"/>
      <c r="FZ19" s="32"/>
      <c r="GA19" s="32"/>
      <c r="GB19" s="32"/>
      <c r="GC19" s="32"/>
      <c r="GD19" s="32"/>
      <c r="GE19" s="32"/>
      <c r="GF19" s="32"/>
      <c r="GG19" s="32"/>
      <c r="GH19" s="32"/>
      <c r="GI19" s="32"/>
      <c r="GJ19" s="32"/>
      <c r="GK19" s="32"/>
      <c r="GL19" s="32"/>
      <c r="GM19" s="32"/>
      <c r="GN19" s="32"/>
      <c r="GO19" s="32"/>
      <c r="GP19" s="32"/>
      <c r="GQ19" s="32"/>
      <c r="GR19" s="32"/>
      <c r="GS19" s="32"/>
      <c r="GT19" s="32"/>
      <c r="GU19" s="32"/>
      <c r="GV19" s="32"/>
      <c r="GW19" s="32"/>
      <c r="GX19" s="32"/>
      <c r="GY19" s="32"/>
      <c r="GZ19" s="32"/>
      <c r="HA19" s="32"/>
      <c r="HB19" s="32"/>
      <c r="HC19" s="32"/>
      <c r="HD19" s="32"/>
      <c r="HE19" s="32"/>
      <c r="HF19" s="32"/>
      <c r="HG19" s="32"/>
      <c r="HH19" s="32"/>
      <c r="HI19" s="32"/>
      <c r="HJ19" s="32"/>
      <c r="HK19" s="32"/>
      <c r="HL19" s="32"/>
      <c r="HM19" s="32"/>
      <c r="HN19" s="32"/>
      <c r="HO19" s="32"/>
      <c r="HP19" s="32"/>
      <c r="HQ19" s="32"/>
      <c r="HR19" s="32"/>
      <c r="HS19" s="32"/>
      <c r="HT19" s="32"/>
      <c r="HU19" s="32"/>
      <c r="HV19" s="32"/>
      <c r="HW19" s="32"/>
      <c r="HX19" s="32"/>
      <c r="HY19" s="32"/>
      <c r="HZ19" s="32"/>
      <c r="IA19" s="32"/>
      <c r="IB19" s="32"/>
      <c r="IC19" s="32"/>
      <c r="ID19" s="32"/>
      <c r="IE19" s="32"/>
      <c r="IF19" s="32"/>
      <c r="IG19" s="32"/>
      <c r="IH19" s="32"/>
      <c r="II19" s="32"/>
      <c r="IJ19" s="32"/>
      <c r="IK19" s="32"/>
      <c r="IL19" s="32"/>
      <c r="IM19" s="32"/>
      <c r="IN19" s="32"/>
      <c r="IO19" s="32"/>
      <c r="IP19" s="32"/>
      <c r="IQ19" s="32"/>
      <c r="IR19" s="32"/>
      <c r="IS19" s="32"/>
      <c r="IT19" s="32"/>
      <c r="IU19" s="32"/>
      <c r="IV19" s="32"/>
      <c r="IW19" s="32"/>
      <c r="IX19" s="32"/>
      <c r="IY19" s="32"/>
      <c r="IZ19" s="32"/>
      <c r="JA19" s="32"/>
      <c r="JB19" s="32"/>
      <c r="JC19" s="32"/>
      <c r="JD19" s="32"/>
      <c r="JE19" s="32"/>
      <c r="JF19" s="32"/>
      <c r="JG19" s="32"/>
      <c r="JH19" s="32"/>
      <c r="JI19" s="32"/>
      <c r="JJ19" s="32"/>
      <c r="JK19" s="32"/>
      <c r="JL19" s="32"/>
      <c r="JM19" s="32"/>
      <c r="JN19" s="32"/>
      <c r="JO19" s="32"/>
      <c r="JP19" s="32"/>
      <c r="JQ19" s="32"/>
      <c r="JR19" s="32"/>
      <c r="JS19" s="32"/>
      <c r="JT19" s="32"/>
      <c r="JU19" s="32"/>
      <c r="JV19" s="32"/>
      <c r="JW19" s="32"/>
      <c r="JX19" s="32"/>
      <c r="JY19" s="32"/>
      <c r="JZ19" s="32"/>
      <c r="KA19" s="32"/>
      <c r="KB19" s="32"/>
      <c r="KC19" s="32"/>
      <c r="KD19" s="32"/>
      <c r="KE19" s="32"/>
      <c r="KF19" s="32"/>
      <c r="KG19" s="32"/>
      <c r="KH19" s="32"/>
      <c r="KI19" s="32"/>
      <c r="KJ19" s="32"/>
      <c r="KK19" s="32"/>
      <c r="KL19" s="32"/>
      <c r="KM19" s="32"/>
      <c r="KN19" s="32"/>
      <c r="KO19" s="32"/>
      <c r="KP19" s="32"/>
      <c r="KQ19" s="32"/>
      <c r="KR19" s="32"/>
      <c r="KS19" s="32"/>
      <c r="KT19" s="32"/>
      <c r="KU19" s="32"/>
      <c r="KV19" s="32"/>
      <c r="KW19" s="32"/>
      <c r="KX19" s="32"/>
      <c r="KY19" s="32"/>
      <c r="KZ19" s="32"/>
      <c r="LA19" s="32"/>
      <c r="LB19" s="32"/>
      <c r="LC19" s="32"/>
      <c r="LD19" s="32"/>
      <c r="LE19" s="32"/>
      <c r="LF19" s="32"/>
      <c r="LG19" s="32"/>
      <c r="LH19" s="32"/>
      <c r="LI19" s="32"/>
      <c r="LJ19" s="32"/>
      <c r="LK19" s="32"/>
      <c r="LL19" s="32"/>
      <c r="LM19" s="32"/>
      <c r="LN19" s="32"/>
      <c r="LO19" s="32"/>
      <c r="LP19" s="32"/>
      <c r="LQ19" s="32"/>
      <c r="LR19" s="32"/>
      <c r="LS19" s="32"/>
      <c r="LT19" s="32"/>
      <c r="LU19" s="32"/>
      <c r="LV19" s="32"/>
      <c r="LW19" s="32"/>
      <c r="LX19" s="32"/>
      <c r="LY19" s="32"/>
      <c r="LZ19" s="32"/>
      <c r="MA19" s="32"/>
      <c r="MB19" s="32"/>
      <c r="MC19" s="32"/>
      <c r="MD19" s="32"/>
      <c r="ME19" s="32"/>
      <c r="MF19" s="32"/>
      <c r="MG19" s="32"/>
      <c r="MH19" s="32"/>
      <c r="MI19" s="32"/>
      <c r="MJ19" s="32"/>
      <c r="MK19" s="32"/>
      <c r="ML19" s="32"/>
      <c r="MM19" s="32"/>
      <c r="MN19" s="32"/>
      <c r="MO19" s="32"/>
      <c r="MP19" s="32"/>
      <c r="MQ19" s="32"/>
      <c r="MR19" s="32"/>
      <c r="MS19" s="32"/>
      <c r="MT19" s="32"/>
      <c r="MU19" s="32"/>
      <c r="MV19" s="32"/>
      <c r="MW19" s="32"/>
      <c r="MX19" s="32"/>
      <c r="MY19" s="32"/>
      <c r="MZ19" s="32"/>
      <c r="NA19" s="32"/>
      <c r="NB19" s="32"/>
      <c r="NC19" s="32"/>
      <c r="ND19" s="32"/>
      <c r="NE19" s="32"/>
      <c r="NF19" s="32"/>
      <c r="NG19" s="32"/>
      <c r="NH19" s="32"/>
      <c r="NI19" s="32"/>
      <c r="NJ19" s="32"/>
      <c r="NK19" s="32"/>
      <c r="NL19" s="32"/>
      <c r="NM19" s="32"/>
      <c r="NN19" s="32"/>
      <c r="NO19" s="32"/>
      <c r="NP19" s="32"/>
      <c r="NQ19" s="32"/>
      <c r="NR19" s="32"/>
      <c r="NS19" s="32"/>
      <c r="NT19" s="32"/>
      <c r="NU19" s="32"/>
      <c r="NV19" s="32"/>
      <c r="NW19" s="32"/>
      <c r="NX19" s="33"/>
      <c r="NY19" s="41">
        <f>SUM(X19:NX19)</f>
        <v>20</v>
      </c>
      <c r="NZ19" s="54">
        <v>44671</v>
      </c>
      <c r="OA19" s="54"/>
      <c r="OB19" s="54"/>
      <c r="OC19" s="54" t="str">
        <f>IF(Таблица2[[#This Row],[дата нач.1]]=""," ",TEXT(Таблица2[[#This Row],[дата нач.1]],"Д.МММ")&amp;"-"&amp;CHAR(10)&amp;TEXT(Таблица2[[#This Row],[конец1]],"Д.МММ") )</f>
        <v>1.апр-
20.апр</v>
      </c>
      <c r="OD19" s="54" t="str">
        <f>IF(Таблица2[[#This Row],[дата нач.2]]=""," ",TEXT(Таблица2[[#This Row],[дата нач.2]],"Д.МММ")&amp;"-"&amp;CHAR(10)&amp;TEXT(Таблица2[[#This Row],[конец2]],"Д.МММ") )</f>
        <v xml:space="preserve"> </v>
      </c>
      <c r="OE19" s="54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20" spans="1:395" s="3" customFormat="1" x14ac:dyDescent="0.25">
      <c r="A20" s="34">
        <v>13</v>
      </c>
      <c r="B20" s="25" t="s">
        <v>16</v>
      </c>
      <c r="C20" s="25" t="s">
        <v>820</v>
      </c>
      <c r="D20" s="25" t="s">
        <v>11</v>
      </c>
      <c r="E20" s="27">
        <v>44743</v>
      </c>
      <c r="F20" s="25">
        <v>18</v>
      </c>
      <c r="G20" s="27">
        <v>44811</v>
      </c>
      <c r="H20" s="25">
        <v>5</v>
      </c>
      <c r="I20" s="25"/>
      <c r="J20" s="25"/>
      <c r="K20" s="28">
        <f>SUM(F20,H20,J20)</f>
        <v>23</v>
      </c>
      <c r="L20" s="40" t="str">
        <f t="shared" ref="L20:W20" ca="1" si="48">IF(SUMIF($X$6:$NX$6,MONTH(L$5),$X20:$DI20)/$NY20=0,"",SUMIF($X$6:$NX$6,MONTH(L$5),$X20:$NX20)/$NY20)</f>
        <v/>
      </c>
      <c r="M20" s="40" t="str">
        <f t="shared" ca="1" si="48"/>
        <v/>
      </c>
      <c r="N20" s="40" t="str">
        <f t="shared" ca="1" si="48"/>
        <v/>
      </c>
      <c r="O20" s="40" t="str">
        <f t="shared" ca="1" si="48"/>
        <v/>
      </c>
      <c r="P20" s="40" t="str">
        <f t="shared" ca="1" si="48"/>
        <v/>
      </c>
      <c r="Q20" s="40" t="str">
        <f t="shared" ca="1" si="48"/>
        <v/>
      </c>
      <c r="R20" s="40">
        <f t="shared" ca="1" si="48"/>
        <v>0.78260869565217395</v>
      </c>
      <c r="S20" s="40" t="str">
        <f t="shared" ca="1" si="48"/>
        <v/>
      </c>
      <c r="T20" s="40">
        <f t="shared" ca="1" si="48"/>
        <v>0.21739130434782608</v>
      </c>
      <c r="U20" s="40" t="str">
        <f t="shared" ca="1" si="48"/>
        <v/>
      </c>
      <c r="V20" s="40" t="str">
        <f t="shared" ca="1" si="48"/>
        <v/>
      </c>
      <c r="W20" s="40" t="str">
        <f t="shared" ca="1" si="48"/>
        <v/>
      </c>
      <c r="X20" s="29"/>
      <c r="Y20" s="29"/>
      <c r="Z20" s="29"/>
      <c r="AA20" s="29"/>
      <c r="AB20" s="29"/>
      <c r="AC20" s="29"/>
      <c r="AD20" s="29"/>
      <c r="AE20" s="29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2"/>
      <c r="DW20" s="32"/>
      <c r="DX20" s="32"/>
      <c r="DY20" s="32"/>
      <c r="DZ20" s="32"/>
      <c r="EA20" s="32"/>
      <c r="EB20" s="32"/>
      <c r="EC20" s="32"/>
      <c r="ED20" s="32"/>
      <c r="EE20" s="32"/>
      <c r="EF20" s="32"/>
      <c r="EG20" s="32"/>
      <c r="EH20" s="32"/>
      <c r="EI20" s="32"/>
      <c r="EJ20" s="32"/>
      <c r="EK20" s="32"/>
      <c r="EL20" s="32"/>
      <c r="EM20" s="32"/>
      <c r="EN20" s="32"/>
      <c r="EO20" s="32"/>
      <c r="EP20" s="32"/>
      <c r="EQ20" s="32"/>
      <c r="ER20" s="32"/>
      <c r="ES20" s="32"/>
      <c r="ET20" s="32"/>
      <c r="EU20" s="32"/>
      <c r="EV20" s="32"/>
      <c r="EW20" s="32"/>
      <c r="EX20" s="32"/>
      <c r="EY20" s="32"/>
      <c r="EZ20" s="32"/>
      <c r="FA20" s="32"/>
      <c r="FB20" s="32"/>
      <c r="FC20" s="32"/>
      <c r="FD20" s="32"/>
      <c r="FE20" s="32"/>
      <c r="FF20" s="32"/>
      <c r="FG20" s="32"/>
      <c r="FH20" s="32"/>
      <c r="FI20" s="32"/>
      <c r="FJ20" s="32"/>
      <c r="FK20" s="32"/>
      <c r="FL20" s="32"/>
      <c r="FM20" s="32"/>
      <c r="FN20" s="32"/>
      <c r="FO20" s="32"/>
      <c r="FP20" s="32"/>
      <c r="FQ20" s="32"/>
      <c r="FR20" s="32"/>
      <c r="FS20" s="32"/>
      <c r="FT20" s="32"/>
      <c r="FU20" s="32"/>
      <c r="FV20" s="32"/>
      <c r="FW20" s="32"/>
      <c r="FX20" s="32"/>
      <c r="FY20" s="32"/>
      <c r="FZ20" s="32"/>
      <c r="GA20" s="32"/>
      <c r="GB20" s="32"/>
      <c r="GC20" s="32"/>
      <c r="GD20" s="32"/>
      <c r="GE20" s="32"/>
      <c r="GF20" s="32"/>
      <c r="GG20" s="32"/>
      <c r="GH20" s="32"/>
      <c r="GI20" s="32"/>
      <c r="GJ20" s="32"/>
      <c r="GK20" s="32"/>
      <c r="GL20" s="32"/>
      <c r="GM20" s="32"/>
      <c r="GN20" s="32"/>
      <c r="GO20" s="32"/>
      <c r="GP20" s="32"/>
      <c r="GQ20" s="32"/>
      <c r="GR20" s="32"/>
      <c r="GS20" s="32"/>
      <c r="GT20" s="32"/>
      <c r="GU20" s="32"/>
      <c r="GV20" s="32"/>
      <c r="GW20" s="32">
        <v>1</v>
      </c>
      <c r="GX20" s="32">
        <v>1</v>
      </c>
      <c r="GY20" s="32">
        <v>1</v>
      </c>
      <c r="GZ20" s="32">
        <v>1</v>
      </c>
      <c r="HA20" s="32">
        <v>1</v>
      </c>
      <c r="HB20" s="32">
        <v>1</v>
      </c>
      <c r="HC20" s="32">
        <v>1</v>
      </c>
      <c r="HD20" s="32">
        <v>1</v>
      </c>
      <c r="HE20" s="32">
        <v>1</v>
      </c>
      <c r="HF20" s="32">
        <v>1</v>
      </c>
      <c r="HG20" s="32">
        <v>1</v>
      </c>
      <c r="HH20" s="32">
        <v>1</v>
      </c>
      <c r="HI20" s="32">
        <v>1</v>
      </c>
      <c r="HJ20" s="32">
        <v>1</v>
      </c>
      <c r="HK20" s="32">
        <v>1</v>
      </c>
      <c r="HL20" s="32">
        <v>1</v>
      </c>
      <c r="HM20" s="32">
        <v>1</v>
      </c>
      <c r="HN20" s="32">
        <v>1</v>
      </c>
      <c r="HO20" s="32"/>
      <c r="HP20" s="32"/>
      <c r="HQ20" s="32"/>
      <c r="HR20" s="32"/>
      <c r="HS20" s="32"/>
      <c r="HT20" s="32"/>
      <c r="HU20" s="32"/>
      <c r="HV20" s="32"/>
      <c r="HW20" s="32"/>
      <c r="HX20" s="32"/>
      <c r="HY20" s="32"/>
      <c r="HZ20" s="32"/>
      <c r="IA20" s="32"/>
      <c r="IB20" s="32"/>
      <c r="IC20" s="32"/>
      <c r="ID20" s="32"/>
      <c r="IE20" s="32"/>
      <c r="IF20" s="32"/>
      <c r="IG20" s="32"/>
      <c r="IH20" s="32"/>
      <c r="II20" s="32"/>
      <c r="IJ20" s="32"/>
      <c r="IK20" s="32"/>
      <c r="IL20" s="32"/>
      <c r="IM20" s="32"/>
      <c r="IN20" s="32"/>
      <c r="IO20" s="32"/>
      <c r="IP20" s="32"/>
      <c r="IQ20" s="32"/>
      <c r="IR20" s="32"/>
      <c r="IS20" s="32"/>
      <c r="IT20" s="32"/>
      <c r="IU20" s="32"/>
      <c r="IV20" s="32"/>
      <c r="IW20" s="32"/>
      <c r="IX20" s="32"/>
      <c r="IY20" s="32"/>
      <c r="IZ20" s="32"/>
      <c r="JA20" s="32"/>
      <c r="JB20" s="32"/>
      <c r="JC20" s="32"/>
      <c r="JD20" s="32"/>
      <c r="JE20" s="32"/>
      <c r="JF20" s="32"/>
      <c r="JG20" s="32"/>
      <c r="JH20" s="32"/>
      <c r="JI20" s="32"/>
      <c r="JJ20" s="32"/>
      <c r="JK20" s="32"/>
      <c r="JL20" s="32"/>
      <c r="JM20" s="32">
        <v>1</v>
      </c>
      <c r="JN20" s="32">
        <v>1</v>
      </c>
      <c r="JO20" s="32">
        <v>1</v>
      </c>
      <c r="JP20" s="32">
        <v>1</v>
      </c>
      <c r="JQ20" s="32">
        <v>1</v>
      </c>
      <c r="JR20" s="32"/>
      <c r="JS20" s="32"/>
      <c r="JT20" s="32"/>
      <c r="JU20" s="32"/>
      <c r="JV20" s="32"/>
      <c r="JW20" s="32"/>
      <c r="JX20" s="32"/>
      <c r="JY20" s="32"/>
      <c r="JZ20" s="32"/>
      <c r="KA20" s="32"/>
      <c r="KB20" s="32"/>
      <c r="KC20" s="32"/>
      <c r="KD20" s="32"/>
      <c r="KE20" s="32"/>
      <c r="KF20" s="32"/>
      <c r="KG20" s="32"/>
      <c r="KH20" s="32"/>
      <c r="KI20" s="32"/>
      <c r="KJ20" s="32"/>
      <c r="KK20" s="32"/>
      <c r="KL20" s="32"/>
      <c r="KM20" s="32"/>
      <c r="KN20" s="32"/>
      <c r="KO20" s="32"/>
      <c r="KP20" s="32"/>
      <c r="KQ20" s="32"/>
      <c r="KR20" s="32"/>
      <c r="KS20" s="32"/>
      <c r="KT20" s="32"/>
      <c r="KU20" s="32"/>
      <c r="KV20" s="32"/>
      <c r="KW20" s="32"/>
      <c r="KX20" s="32"/>
      <c r="KY20" s="32"/>
      <c r="KZ20" s="32"/>
      <c r="LA20" s="32"/>
      <c r="LB20" s="32"/>
      <c r="LC20" s="32"/>
      <c r="LD20" s="32"/>
      <c r="LE20" s="32"/>
      <c r="LF20" s="32"/>
      <c r="LG20" s="32"/>
      <c r="LH20" s="32"/>
      <c r="LI20" s="32"/>
      <c r="LJ20" s="32"/>
      <c r="LK20" s="32"/>
      <c r="LL20" s="32"/>
      <c r="LM20" s="32"/>
      <c r="LN20" s="32"/>
      <c r="LO20" s="32"/>
      <c r="LP20" s="32"/>
      <c r="LQ20" s="32"/>
      <c r="LR20" s="32"/>
      <c r="LS20" s="32"/>
      <c r="LT20" s="32"/>
      <c r="LU20" s="32"/>
      <c r="LV20" s="32"/>
      <c r="LW20" s="32"/>
      <c r="LX20" s="32"/>
      <c r="LY20" s="32"/>
      <c r="LZ20" s="32"/>
      <c r="MA20" s="32"/>
      <c r="MB20" s="32"/>
      <c r="MC20" s="32"/>
      <c r="MD20" s="32"/>
      <c r="ME20" s="32"/>
      <c r="MF20" s="32"/>
      <c r="MG20" s="32"/>
      <c r="MH20" s="32"/>
      <c r="MI20" s="32"/>
      <c r="MJ20" s="32"/>
      <c r="MK20" s="32"/>
      <c r="ML20" s="32"/>
      <c r="MM20" s="32"/>
      <c r="MN20" s="32"/>
      <c r="MO20" s="32"/>
      <c r="MP20" s="32"/>
      <c r="MQ20" s="32"/>
      <c r="MR20" s="32"/>
      <c r="MS20" s="32"/>
      <c r="MT20" s="32"/>
      <c r="MU20" s="32"/>
      <c r="MV20" s="32"/>
      <c r="MW20" s="32"/>
      <c r="MX20" s="32"/>
      <c r="MY20" s="32"/>
      <c r="MZ20" s="32"/>
      <c r="NA20" s="32"/>
      <c r="NB20" s="32"/>
      <c r="NC20" s="32"/>
      <c r="ND20" s="32"/>
      <c r="NE20" s="32"/>
      <c r="NF20" s="32"/>
      <c r="NG20" s="32"/>
      <c r="NH20" s="32"/>
      <c r="NI20" s="32"/>
      <c r="NJ20" s="32"/>
      <c r="NK20" s="32"/>
      <c r="NL20" s="32"/>
      <c r="NM20" s="32"/>
      <c r="NN20" s="32"/>
      <c r="NO20" s="32"/>
      <c r="NP20" s="32"/>
      <c r="NQ20" s="32"/>
      <c r="NR20" s="32"/>
      <c r="NS20" s="32"/>
      <c r="NT20" s="32"/>
      <c r="NU20" s="32"/>
      <c r="NV20" s="32"/>
      <c r="NW20" s="32"/>
      <c r="NX20" s="33"/>
      <c r="NY20" s="41">
        <f>SUM(X20:NX20)</f>
        <v>23</v>
      </c>
      <c r="NZ20" s="55">
        <v>44760</v>
      </c>
      <c r="OA20" s="55">
        <v>44815</v>
      </c>
      <c r="OB20" s="55"/>
      <c r="OC20" s="55" t="str">
        <f>IF(Таблица2[[#This Row],[дата нач.1]]=""," ",TEXT(Таблица2[[#This Row],[дата нач.1]],"Д.МММ")&amp;"-"&amp;CHAR(10)&amp;TEXT(Таблица2[[#This Row],[конец1]],"Д.МММ") )</f>
        <v>1.июл-
18.июл</v>
      </c>
      <c r="OD20" s="55" t="str">
        <f>IF(Таблица2[[#This Row],[дата нач.2]]=""," ",TEXT(Таблица2[[#This Row],[дата нач.2]],"Д.МММ")&amp;"-"&amp;CHAR(10)&amp;TEXT(Таблица2[[#This Row],[конец2]],"Д.МММ") )</f>
        <v>7.сен-
11.сен</v>
      </c>
      <c r="OE20" s="55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21" spans="1:395" s="3" customFormat="1" x14ac:dyDescent="0.25">
      <c r="A21" s="34">
        <v>14</v>
      </c>
      <c r="B21" s="25" t="s">
        <v>768</v>
      </c>
      <c r="C21" s="25" t="s">
        <v>821</v>
      </c>
      <c r="D21" s="25" t="s">
        <v>11</v>
      </c>
      <c r="E21" s="27">
        <v>44805</v>
      </c>
      <c r="F21" s="25">
        <v>20</v>
      </c>
      <c r="G21" s="27"/>
      <c r="H21" s="25"/>
      <c r="I21" s="25"/>
      <c r="J21" s="25"/>
      <c r="K21" s="28">
        <f>SUM(F21,H21,J21)</f>
        <v>20</v>
      </c>
      <c r="L21" s="40" t="str">
        <f t="shared" ref="L21:W21" ca="1" si="49">IF(SUMIF($X$6:$NX$6,MONTH(L$5),$X21:$DI21)/$NY21=0,"",SUMIF($X$6:$NX$6,MONTH(L$5),$X21:$NX21)/$NY21)</f>
        <v/>
      </c>
      <c r="M21" s="40" t="str">
        <f t="shared" ca="1" si="49"/>
        <v/>
      </c>
      <c r="N21" s="40" t="str">
        <f t="shared" ca="1" si="49"/>
        <v/>
      </c>
      <c r="O21" s="40" t="str">
        <f t="shared" ca="1" si="49"/>
        <v/>
      </c>
      <c r="P21" s="40" t="str">
        <f t="shared" ca="1" si="49"/>
        <v/>
      </c>
      <c r="Q21" s="40" t="str">
        <f t="shared" ca="1" si="49"/>
        <v/>
      </c>
      <c r="R21" s="40" t="str">
        <f t="shared" ca="1" si="49"/>
        <v/>
      </c>
      <c r="S21" s="40" t="str">
        <f t="shared" ca="1" si="49"/>
        <v/>
      </c>
      <c r="T21" s="40">
        <f t="shared" ca="1" si="49"/>
        <v>1</v>
      </c>
      <c r="U21" s="40" t="str">
        <f t="shared" ca="1" si="49"/>
        <v/>
      </c>
      <c r="V21" s="40" t="str">
        <f t="shared" ca="1" si="49"/>
        <v/>
      </c>
      <c r="W21" s="40" t="str">
        <f t="shared" ca="1" si="49"/>
        <v/>
      </c>
      <c r="X21" s="29"/>
      <c r="Y21" s="29"/>
      <c r="Z21" s="29"/>
      <c r="AA21" s="29"/>
      <c r="AB21" s="29"/>
      <c r="AC21" s="29"/>
      <c r="AD21" s="29"/>
      <c r="AE21" s="29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2"/>
      <c r="DF21" s="32"/>
      <c r="DG21" s="32"/>
      <c r="DH21" s="32"/>
      <c r="DI21" s="32"/>
      <c r="DJ21" s="32"/>
      <c r="DK21" s="32"/>
      <c r="DL21" s="32"/>
      <c r="DM21" s="32"/>
      <c r="DN21" s="32"/>
      <c r="DO21" s="32"/>
      <c r="DP21" s="32"/>
      <c r="DQ21" s="32"/>
      <c r="DR21" s="32"/>
      <c r="DS21" s="32"/>
      <c r="DT21" s="32"/>
      <c r="DU21" s="32"/>
      <c r="DV21" s="32"/>
      <c r="DW21" s="32"/>
      <c r="DX21" s="32"/>
      <c r="DY21" s="32"/>
      <c r="DZ21" s="32"/>
      <c r="EA21" s="32"/>
      <c r="EB21" s="32"/>
      <c r="EC21" s="32"/>
      <c r="ED21" s="32"/>
      <c r="EE21" s="32"/>
      <c r="EF21" s="32"/>
      <c r="EG21" s="32"/>
      <c r="EH21" s="32"/>
      <c r="EI21" s="32"/>
      <c r="EJ21" s="32"/>
      <c r="EK21" s="32"/>
      <c r="EL21" s="32"/>
      <c r="EM21" s="32"/>
      <c r="EN21" s="32"/>
      <c r="EO21" s="32"/>
      <c r="EP21" s="32"/>
      <c r="EQ21" s="32"/>
      <c r="ER21" s="32"/>
      <c r="ES21" s="32"/>
      <c r="ET21" s="32"/>
      <c r="EU21" s="32"/>
      <c r="EV21" s="32"/>
      <c r="EW21" s="32"/>
      <c r="EX21" s="32"/>
      <c r="EY21" s="32"/>
      <c r="EZ21" s="32"/>
      <c r="FA21" s="32"/>
      <c r="FB21" s="32"/>
      <c r="FC21" s="32"/>
      <c r="FD21" s="32"/>
      <c r="FE21" s="32"/>
      <c r="FF21" s="32"/>
      <c r="FG21" s="32"/>
      <c r="FH21" s="32"/>
      <c r="FI21" s="32"/>
      <c r="FJ21" s="32"/>
      <c r="FK21" s="32"/>
      <c r="FL21" s="32"/>
      <c r="FM21" s="32"/>
      <c r="FN21" s="32"/>
      <c r="FO21" s="32"/>
      <c r="FP21" s="32"/>
      <c r="FQ21" s="32"/>
      <c r="FR21" s="32"/>
      <c r="FS21" s="32"/>
      <c r="FT21" s="32"/>
      <c r="FU21" s="32"/>
      <c r="FV21" s="32"/>
      <c r="FW21" s="32"/>
      <c r="FX21" s="32"/>
      <c r="FY21" s="32"/>
      <c r="FZ21" s="32"/>
      <c r="GA21" s="32"/>
      <c r="GB21" s="32"/>
      <c r="GC21" s="32"/>
      <c r="GD21" s="32"/>
      <c r="GE21" s="32"/>
      <c r="GF21" s="32"/>
      <c r="GG21" s="32"/>
      <c r="GH21" s="32"/>
      <c r="GI21" s="32"/>
      <c r="GJ21" s="32"/>
      <c r="GK21" s="32"/>
      <c r="GL21" s="32"/>
      <c r="GM21" s="32"/>
      <c r="GN21" s="32"/>
      <c r="GO21" s="32"/>
      <c r="GP21" s="32"/>
      <c r="GQ21" s="32"/>
      <c r="GR21" s="32"/>
      <c r="GS21" s="32"/>
      <c r="GT21" s="32"/>
      <c r="GU21" s="32"/>
      <c r="GV21" s="32"/>
      <c r="GW21" s="32"/>
      <c r="GX21" s="32"/>
      <c r="GY21" s="32"/>
      <c r="GZ21" s="32"/>
      <c r="HA21" s="32"/>
      <c r="HB21" s="32"/>
      <c r="HC21" s="32"/>
      <c r="HD21" s="32"/>
      <c r="HE21" s="32"/>
      <c r="HF21" s="32"/>
      <c r="HG21" s="32"/>
      <c r="HH21" s="32"/>
      <c r="HI21" s="32"/>
      <c r="HJ21" s="32"/>
      <c r="HK21" s="32"/>
      <c r="HL21" s="32"/>
      <c r="HM21" s="32"/>
      <c r="HN21" s="32"/>
      <c r="HO21" s="32"/>
      <c r="HP21" s="32"/>
      <c r="HQ21" s="32"/>
      <c r="HR21" s="32"/>
      <c r="HS21" s="32"/>
      <c r="HT21" s="32"/>
      <c r="HU21" s="32"/>
      <c r="HV21" s="32"/>
      <c r="HW21" s="32"/>
      <c r="HX21" s="32"/>
      <c r="HY21" s="32"/>
      <c r="HZ21" s="32"/>
      <c r="IA21" s="32"/>
      <c r="IB21" s="32"/>
      <c r="IC21" s="32"/>
      <c r="ID21" s="32"/>
      <c r="IE21" s="32"/>
      <c r="IF21" s="32"/>
      <c r="IG21" s="32"/>
      <c r="IH21" s="32"/>
      <c r="II21" s="32"/>
      <c r="IJ21" s="32"/>
      <c r="IK21" s="32"/>
      <c r="IL21" s="32"/>
      <c r="IM21" s="32"/>
      <c r="IN21" s="32"/>
      <c r="IO21" s="32"/>
      <c r="IP21" s="32"/>
      <c r="IQ21" s="32"/>
      <c r="IR21" s="32"/>
      <c r="IS21" s="32"/>
      <c r="IT21" s="32"/>
      <c r="IU21" s="32"/>
      <c r="IV21" s="32"/>
      <c r="IW21" s="32"/>
      <c r="IX21" s="32"/>
      <c r="IY21" s="32"/>
      <c r="IZ21" s="32"/>
      <c r="JA21" s="32"/>
      <c r="JB21" s="32"/>
      <c r="JC21" s="32"/>
      <c r="JD21" s="32"/>
      <c r="JE21" s="32"/>
      <c r="JF21" s="32"/>
      <c r="JG21" s="32">
        <v>1</v>
      </c>
      <c r="JH21" s="32">
        <v>1</v>
      </c>
      <c r="JI21" s="32">
        <v>1</v>
      </c>
      <c r="JJ21" s="32">
        <v>1</v>
      </c>
      <c r="JK21" s="32">
        <v>1</v>
      </c>
      <c r="JL21" s="32">
        <v>1</v>
      </c>
      <c r="JM21" s="32">
        <v>1</v>
      </c>
      <c r="JN21" s="32">
        <v>1</v>
      </c>
      <c r="JO21" s="32">
        <v>1</v>
      </c>
      <c r="JP21" s="32">
        <v>1</v>
      </c>
      <c r="JQ21" s="32">
        <v>1</v>
      </c>
      <c r="JR21" s="32">
        <v>1</v>
      </c>
      <c r="JS21" s="32">
        <v>1</v>
      </c>
      <c r="JT21" s="32">
        <v>1</v>
      </c>
      <c r="JU21" s="32">
        <v>1</v>
      </c>
      <c r="JV21" s="32">
        <v>1</v>
      </c>
      <c r="JW21" s="32">
        <v>1</v>
      </c>
      <c r="JX21" s="32">
        <v>1</v>
      </c>
      <c r="JY21" s="32">
        <v>1</v>
      </c>
      <c r="JZ21" s="32">
        <v>1</v>
      </c>
      <c r="KA21" s="32"/>
      <c r="KB21" s="32"/>
      <c r="KC21" s="32"/>
      <c r="KD21" s="32"/>
      <c r="KE21" s="32"/>
      <c r="KF21" s="32"/>
      <c r="KG21" s="32"/>
      <c r="KH21" s="32"/>
      <c r="KI21" s="32"/>
      <c r="KJ21" s="32"/>
      <c r="KK21" s="32"/>
      <c r="KL21" s="32"/>
      <c r="KM21" s="32"/>
      <c r="KN21" s="32"/>
      <c r="KO21" s="32"/>
      <c r="KP21" s="32"/>
      <c r="KQ21" s="32"/>
      <c r="KR21" s="32"/>
      <c r="KS21" s="32"/>
      <c r="KT21" s="32"/>
      <c r="KU21" s="32"/>
      <c r="KV21" s="32"/>
      <c r="KW21" s="32"/>
      <c r="KX21" s="32"/>
      <c r="KY21" s="32"/>
      <c r="KZ21" s="32"/>
      <c r="LA21" s="32"/>
      <c r="LB21" s="32"/>
      <c r="LC21" s="32"/>
      <c r="LD21" s="32"/>
      <c r="LE21" s="32"/>
      <c r="LF21" s="32"/>
      <c r="LG21" s="32"/>
      <c r="LH21" s="32"/>
      <c r="LI21" s="32"/>
      <c r="LJ21" s="32"/>
      <c r="LK21" s="32"/>
      <c r="LL21" s="32"/>
      <c r="LM21" s="32"/>
      <c r="LN21" s="32"/>
      <c r="LO21" s="32"/>
      <c r="LP21" s="32"/>
      <c r="LQ21" s="32"/>
      <c r="LR21" s="32"/>
      <c r="LS21" s="32"/>
      <c r="LT21" s="32"/>
      <c r="LU21" s="32"/>
      <c r="LV21" s="32"/>
      <c r="LW21" s="32"/>
      <c r="LX21" s="32"/>
      <c r="LY21" s="32"/>
      <c r="LZ21" s="32"/>
      <c r="MA21" s="32"/>
      <c r="MB21" s="32"/>
      <c r="MC21" s="32"/>
      <c r="MD21" s="32"/>
      <c r="ME21" s="32"/>
      <c r="MF21" s="32"/>
      <c r="MG21" s="32"/>
      <c r="MH21" s="32"/>
      <c r="MI21" s="32"/>
      <c r="MJ21" s="32"/>
      <c r="MK21" s="32"/>
      <c r="ML21" s="32"/>
      <c r="MM21" s="32"/>
      <c r="MN21" s="32"/>
      <c r="MO21" s="32"/>
      <c r="MP21" s="32"/>
      <c r="MQ21" s="32"/>
      <c r="MR21" s="32"/>
      <c r="MS21" s="32"/>
      <c r="MT21" s="32"/>
      <c r="MU21" s="32"/>
      <c r="MV21" s="32"/>
      <c r="MW21" s="32"/>
      <c r="MX21" s="32"/>
      <c r="MY21" s="32"/>
      <c r="MZ21" s="32"/>
      <c r="NA21" s="32"/>
      <c r="NB21" s="32"/>
      <c r="NC21" s="32"/>
      <c r="ND21" s="32"/>
      <c r="NE21" s="32"/>
      <c r="NF21" s="32"/>
      <c r="NG21" s="32"/>
      <c r="NH21" s="32"/>
      <c r="NI21" s="32"/>
      <c r="NJ21" s="32"/>
      <c r="NK21" s="32"/>
      <c r="NL21" s="32"/>
      <c r="NM21" s="32"/>
      <c r="NN21" s="32"/>
      <c r="NO21" s="32"/>
      <c r="NP21" s="32"/>
      <c r="NQ21" s="32"/>
      <c r="NR21" s="32"/>
      <c r="NS21" s="32"/>
      <c r="NT21" s="32"/>
      <c r="NU21" s="32"/>
      <c r="NV21" s="32"/>
      <c r="NW21" s="32"/>
      <c r="NX21" s="33"/>
      <c r="NY21" s="41">
        <f>SUM(X21:NX21)</f>
        <v>20</v>
      </c>
      <c r="NZ21" s="55">
        <v>44824</v>
      </c>
      <c r="OA21" s="55"/>
      <c r="OB21" s="55"/>
      <c r="OC21" s="55" t="str">
        <f>IF(Таблица2[[#This Row],[дата нач.1]]=""," ",TEXT(Таблица2[[#This Row],[дата нач.1]],"Д.МММ")&amp;"-"&amp;CHAR(10)&amp;TEXT(Таблица2[[#This Row],[конец1]],"Д.МММ") )</f>
        <v>1.сен-
20.сен</v>
      </c>
      <c r="OD21" s="55" t="str">
        <f>IF(Таблица2[[#This Row],[дата нач.2]]=""," ",TEXT(Таблица2[[#This Row],[дата нач.2]],"Д.МММ")&amp;"-"&amp;CHAR(10)&amp;TEXT(Таблица2[[#This Row],[конец2]],"Д.МММ") )</f>
        <v xml:space="preserve"> </v>
      </c>
      <c r="OE21" s="55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22" spans="1:395" s="3" customFormat="1" x14ac:dyDescent="0.25">
      <c r="A22" s="34">
        <v>15</v>
      </c>
      <c r="B22" s="25" t="s">
        <v>768</v>
      </c>
      <c r="C22" s="25" t="s">
        <v>822</v>
      </c>
      <c r="D22" s="25" t="s">
        <v>11</v>
      </c>
      <c r="E22" s="27">
        <v>44576</v>
      </c>
      <c r="F22" s="25">
        <v>18</v>
      </c>
      <c r="G22" s="27"/>
      <c r="H22" s="25"/>
      <c r="I22" s="25"/>
      <c r="J22" s="25"/>
      <c r="K22" s="28">
        <f>SUM(F22,H22,J22)</f>
        <v>18</v>
      </c>
      <c r="L22" s="40">
        <f t="shared" ref="L22:W23" ca="1" si="50">IF(SUMIF($X$6:$NX$6,MONTH(L$5),$X22:$DI22)/$NY22=0,"",SUMIF($X$6:$NX$6,MONTH(L$5),$X22:$NX22)/$NY22)</f>
        <v>0.94444444444444442</v>
      </c>
      <c r="M22" s="40">
        <f t="shared" ca="1" si="50"/>
        <v>5.5555555555555552E-2</v>
      </c>
      <c r="N22" s="40" t="str">
        <f t="shared" ca="1" si="50"/>
        <v/>
      </c>
      <c r="O22" s="40" t="str">
        <f t="shared" ca="1" si="50"/>
        <v/>
      </c>
      <c r="P22" s="40" t="str">
        <f t="shared" ca="1" si="50"/>
        <v/>
      </c>
      <c r="Q22" s="40" t="str">
        <f t="shared" ca="1" si="50"/>
        <v/>
      </c>
      <c r="R22" s="40" t="str">
        <f t="shared" ca="1" si="50"/>
        <v/>
      </c>
      <c r="S22" s="40" t="str">
        <f t="shared" ca="1" si="50"/>
        <v/>
      </c>
      <c r="T22" s="40" t="str">
        <f t="shared" ca="1" si="50"/>
        <v/>
      </c>
      <c r="U22" s="40" t="str">
        <f t="shared" ca="1" si="50"/>
        <v/>
      </c>
      <c r="V22" s="40" t="str">
        <f t="shared" ca="1" si="50"/>
        <v/>
      </c>
      <c r="W22" s="40" t="str">
        <f t="shared" ca="1" si="50"/>
        <v/>
      </c>
      <c r="X22" s="29"/>
      <c r="Y22" s="29"/>
      <c r="Z22" s="29"/>
      <c r="AA22" s="29"/>
      <c r="AB22" s="29"/>
      <c r="AC22" s="29"/>
      <c r="AD22" s="29"/>
      <c r="AE22" s="29"/>
      <c r="AF22" s="30"/>
      <c r="AG22" s="30"/>
      <c r="AH22" s="30"/>
      <c r="AI22" s="30"/>
      <c r="AJ22" s="30"/>
      <c r="AK22" s="30"/>
      <c r="AL22" s="30">
        <v>1</v>
      </c>
      <c r="AM22" s="30">
        <v>1</v>
      </c>
      <c r="AN22" s="30">
        <v>1</v>
      </c>
      <c r="AO22" s="30">
        <v>1</v>
      </c>
      <c r="AP22" s="30">
        <v>1</v>
      </c>
      <c r="AQ22" s="30">
        <v>1</v>
      </c>
      <c r="AR22" s="30">
        <v>1</v>
      </c>
      <c r="AS22" s="30">
        <v>1</v>
      </c>
      <c r="AT22" s="30">
        <v>1</v>
      </c>
      <c r="AU22" s="30">
        <v>1</v>
      </c>
      <c r="AV22" s="30">
        <v>1</v>
      </c>
      <c r="AW22" s="30">
        <v>1</v>
      </c>
      <c r="AX22" s="30">
        <v>1</v>
      </c>
      <c r="AY22" s="30">
        <v>1</v>
      </c>
      <c r="AZ22" s="30">
        <v>1</v>
      </c>
      <c r="BA22" s="30">
        <v>1</v>
      </c>
      <c r="BB22" s="30">
        <v>1</v>
      </c>
      <c r="BC22" s="30">
        <v>1</v>
      </c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2"/>
      <c r="DF22" s="32"/>
      <c r="DG22" s="32"/>
      <c r="DH22" s="32"/>
      <c r="DI22" s="32"/>
      <c r="DJ22" s="32"/>
      <c r="DK22" s="32"/>
      <c r="DL22" s="32"/>
      <c r="DM22" s="32"/>
      <c r="DN22" s="32"/>
      <c r="DO22" s="32"/>
      <c r="DP22" s="32"/>
      <c r="DQ22" s="32"/>
      <c r="DR22" s="32"/>
      <c r="DS22" s="32"/>
      <c r="DT22" s="32"/>
      <c r="DU22" s="32"/>
      <c r="DV22" s="32"/>
      <c r="DW22" s="32"/>
      <c r="DX22" s="32"/>
      <c r="DY22" s="32"/>
      <c r="DZ22" s="32"/>
      <c r="EA22" s="32"/>
      <c r="EB22" s="32"/>
      <c r="EC22" s="32"/>
      <c r="ED22" s="32"/>
      <c r="EE22" s="32"/>
      <c r="EF22" s="32"/>
      <c r="EG22" s="32"/>
      <c r="EH22" s="32"/>
      <c r="EI22" s="32"/>
      <c r="EJ22" s="32"/>
      <c r="EK22" s="32"/>
      <c r="EL22" s="32"/>
      <c r="EM22" s="32"/>
      <c r="EN22" s="32"/>
      <c r="EO22" s="32"/>
      <c r="EP22" s="32"/>
      <c r="EQ22" s="32"/>
      <c r="ER22" s="32"/>
      <c r="ES22" s="32"/>
      <c r="ET22" s="32"/>
      <c r="EU22" s="32"/>
      <c r="EV22" s="32"/>
      <c r="EW22" s="32"/>
      <c r="EX22" s="32"/>
      <c r="EY22" s="32"/>
      <c r="EZ22" s="32"/>
      <c r="FA22" s="32"/>
      <c r="FB22" s="32"/>
      <c r="FC22" s="32"/>
      <c r="FD22" s="32"/>
      <c r="FE22" s="32"/>
      <c r="FF22" s="32"/>
      <c r="FG22" s="32"/>
      <c r="FH22" s="32"/>
      <c r="FI22" s="32"/>
      <c r="FJ22" s="32"/>
      <c r="FK22" s="32"/>
      <c r="FL22" s="32"/>
      <c r="FM22" s="32"/>
      <c r="FN22" s="32"/>
      <c r="FO22" s="32"/>
      <c r="FP22" s="32"/>
      <c r="FQ22" s="32"/>
      <c r="FR22" s="32"/>
      <c r="FS22" s="32"/>
      <c r="FT22" s="32"/>
      <c r="FU22" s="32"/>
      <c r="FV22" s="32"/>
      <c r="FW22" s="32"/>
      <c r="FX22" s="32"/>
      <c r="FY22" s="32"/>
      <c r="FZ22" s="32"/>
      <c r="GA22" s="32"/>
      <c r="GB22" s="32"/>
      <c r="GC22" s="32"/>
      <c r="GD22" s="32"/>
      <c r="GE22" s="32"/>
      <c r="GF22" s="32"/>
      <c r="GG22" s="32"/>
      <c r="GH22" s="32"/>
      <c r="GI22" s="32"/>
      <c r="GJ22" s="32"/>
      <c r="GK22" s="32"/>
      <c r="GL22" s="32"/>
      <c r="GM22" s="32"/>
      <c r="GN22" s="32"/>
      <c r="GO22" s="32"/>
      <c r="GP22" s="32"/>
      <c r="GQ22" s="32"/>
      <c r="GR22" s="32"/>
      <c r="GS22" s="32"/>
      <c r="GT22" s="32"/>
      <c r="GU22" s="32"/>
      <c r="GV22" s="32"/>
      <c r="GW22" s="32"/>
      <c r="GX22" s="32"/>
      <c r="GY22" s="32"/>
      <c r="GZ22" s="32"/>
      <c r="HA22" s="32"/>
      <c r="HB22" s="32"/>
      <c r="HC22" s="32"/>
      <c r="HD22" s="32"/>
      <c r="HE22" s="32"/>
      <c r="HF22" s="32"/>
      <c r="HG22" s="32"/>
      <c r="HH22" s="32"/>
      <c r="HI22" s="32"/>
      <c r="HJ22" s="32"/>
      <c r="HK22" s="32"/>
      <c r="HL22" s="32"/>
      <c r="HM22" s="32"/>
      <c r="HN22" s="32"/>
      <c r="HO22" s="32"/>
      <c r="HP22" s="32"/>
      <c r="HQ22" s="32"/>
      <c r="HR22" s="32"/>
      <c r="HS22" s="32"/>
      <c r="HT22" s="32"/>
      <c r="HU22" s="32"/>
      <c r="HV22" s="32"/>
      <c r="HW22" s="32"/>
      <c r="HX22" s="32"/>
      <c r="HY22" s="32"/>
      <c r="HZ22" s="32"/>
      <c r="IA22" s="32"/>
      <c r="IB22" s="32"/>
      <c r="IC22" s="32"/>
      <c r="ID22" s="32"/>
      <c r="IE22" s="32"/>
      <c r="IF22" s="32"/>
      <c r="IG22" s="32"/>
      <c r="IH22" s="32"/>
      <c r="II22" s="32"/>
      <c r="IJ22" s="32"/>
      <c r="IK22" s="32"/>
      <c r="IL22" s="32"/>
      <c r="IM22" s="32"/>
      <c r="IN22" s="32"/>
      <c r="IO22" s="32"/>
      <c r="IP22" s="32"/>
      <c r="IQ22" s="32"/>
      <c r="IR22" s="32"/>
      <c r="IS22" s="32"/>
      <c r="IT22" s="32"/>
      <c r="IU22" s="32"/>
      <c r="IV22" s="32"/>
      <c r="IW22" s="32"/>
      <c r="IX22" s="32"/>
      <c r="IY22" s="32"/>
      <c r="IZ22" s="32"/>
      <c r="JA22" s="32"/>
      <c r="JB22" s="32"/>
      <c r="JC22" s="32"/>
      <c r="JD22" s="32"/>
      <c r="JE22" s="32"/>
      <c r="JF22" s="32"/>
      <c r="JG22" s="32"/>
      <c r="JH22" s="32"/>
      <c r="JI22" s="32"/>
      <c r="JJ22" s="32"/>
      <c r="JK22" s="32"/>
      <c r="JL22" s="32"/>
      <c r="JM22" s="32"/>
      <c r="JN22" s="32"/>
      <c r="JO22" s="32"/>
      <c r="JP22" s="32"/>
      <c r="JQ22" s="32"/>
      <c r="JR22" s="32"/>
      <c r="JS22" s="32"/>
      <c r="JT22" s="32"/>
      <c r="JU22" s="32"/>
      <c r="JV22" s="32"/>
      <c r="JW22" s="32"/>
      <c r="JX22" s="32"/>
      <c r="JY22" s="32"/>
      <c r="JZ22" s="32"/>
      <c r="KA22" s="32"/>
      <c r="KB22" s="32"/>
      <c r="KC22" s="32"/>
      <c r="KD22" s="32"/>
      <c r="KE22" s="32"/>
      <c r="KF22" s="32"/>
      <c r="KG22" s="32"/>
      <c r="KH22" s="32"/>
      <c r="KI22" s="32"/>
      <c r="KJ22" s="32"/>
      <c r="KK22" s="32"/>
      <c r="KL22" s="32"/>
      <c r="KM22" s="32"/>
      <c r="KN22" s="32"/>
      <c r="KO22" s="32"/>
      <c r="KP22" s="32"/>
      <c r="KQ22" s="32"/>
      <c r="KR22" s="32"/>
      <c r="KS22" s="32"/>
      <c r="KT22" s="32"/>
      <c r="KU22" s="32"/>
      <c r="KV22" s="32"/>
      <c r="KW22" s="32"/>
      <c r="KX22" s="32"/>
      <c r="KY22" s="32"/>
      <c r="KZ22" s="32"/>
      <c r="LA22" s="32"/>
      <c r="LB22" s="32"/>
      <c r="LC22" s="32"/>
      <c r="LD22" s="32"/>
      <c r="LE22" s="32"/>
      <c r="LF22" s="32"/>
      <c r="LG22" s="32"/>
      <c r="LH22" s="32"/>
      <c r="LI22" s="32"/>
      <c r="LJ22" s="32"/>
      <c r="LK22" s="32"/>
      <c r="LL22" s="32"/>
      <c r="LM22" s="32"/>
      <c r="LN22" s="32"/>
      <c r="LO22" s="32"/>
      <c r="LP22" s="32"/>
      <c r="LQ22" s="32"/>
      <c r="LR22" s="32"/>
      <c r="LS22" s="32"/>
      <c r="LT22" s="32"/>
      <c r="LU22" s="32"/>
      <c r="LV22" s="32"/>
      <c r="LW22" s="32"/>
      <c r="LX22" s="32"/>
      <c r="LY22" s="32"/>
      <c r="LZ22" s="32"/>
      <c r="MA22" s="32"/>
      <c r="MB22" s="32"/>
      <c r="MC22" s="32"/>
      <c r="MD22" s="32"/>
      <c r="ME22" s="32"/>
      <c r="MF22" s="32"/>
      <c r="MG22" s="32"/>
      <c r="MH22" s="32"/>
      <c r="MI22" s="32"/>
      <c r="MJ22" s="32"/>
      <c r="MK22" s="32"/>
      <c r="ML22" s="32"/>
      <c r="MM22" s="32"/>
      <c r="MN22" s="32"/>
      <c r="MO22" s="32"/>
      <c r="MP22" s="32"/>
      <c r="MQ22" s="32"/>
      <c r="MR22" s="32"/>
      <c r="MS22" s="32"/>
      <c r="MT22" s="32"/>
      <c r="MU22" s="32"/>
      <c r="MV22" s="32"/>
      <c r="MW22" s="32"/>
      <c r="MX22" s="32"/>
      <c r="MY22" s="32"/>
      <c r="MZ22" s="32"/>
      <c r="NA22" s="32"/>
      <c r="NB22" s="32"/>
      <c r="NC22" s="32"/>
      <c r="ND22" s="32"/>
      <c r="NE22" s="32"/>
      <c r="NF22" s="32"/>
      <c r="NG22" s="32"/>
      <c r="NH22" s="32"/>
      <c r="NI22" s="32"/>
      <c r="NJ22" s="32"/>
      <c r="NK22" s="32"/>
      <c r="NL22" s="32"/>
      <c r="NM22" s="32"/>
      <c r="NN22" s="32"/>
      <c r="NO22" s="32"/>
      <c r="NP22" s="32"/>
      <c r="NQ22" s="32"/>
      <c r="NR22" s="32"/>
      <c r="NS22" s="32"/>
      <c r="NT22" s="32"/>
      <c r="NU22" s="32"/>
      <c r="NV22" s="32"/>
      <c r="NW22" s="32"/>
      <c r="NX22" s="33"/>
      <c r="NY22" s="41">
        <f>SUM(X22:NX22)</f>
        <v>18</v>
      </c>
      <c r="NZ22" s="55">
        <v>44593</v>
      </c>
      <c r="OA22" s="55"/>
      <c r="OB22" s="55"/>
      <c r="OC22" s="55" t="str">
        <f>IF(Таблица2[[#This Row],[дата нач.1]]=""," ",TEXT(Таблица2[[#This Row],[дата нач.1]],"Д.МММ")&amp;"-"&amp;CHAR(10)&amp;TEXT(Таблица2[[#This Row],[конец1]],"Д.МММ") )</f>
        <v>15.янв-
1.фев</v>
      </c>
      <c r="OD22" s="55" t="str">
        <f>IF(Таблица2[[#This Row],[дата нач.2]]=""," ",TEXT(Таблица2[[#This Row],[дата нач.2]],"Д.МММ")&amp;"-"&amp;CHAR(10)&amp;TEXT(Таблица2[[#This Row],[конец2]],"Д.МММ") )</f>
        <v xml:space="preserve"> </v>
      </c>
      <c r="OE22" s="55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23" spans="1:395" s="3" customFormat="1" x14ac:dyDescent="0.25">
      <c r="A23" s="34">
        <v>16</v>
      </c>
      <c r="B23" s="25" t="s">
        <v>768</v>
      </c>
      <c r="C23" s="25" t="s">
        <v>823</v>
      </c>
      <c r="D23" s="25" t="s">
        <v>11</v>
      </c>
      <c r="E23" s="27">
        <v>44607</v>
      </c>
      <c r="F23" s="25">
        <v>14</v>
      </c>
      <c r="G23" s="27">
        <v>44774</v>
      </c>
      <c r="H23" s="25">
        <v>10</v>
      </c>
      <c r="I23" s="25"/>
      <c r="J23" s="25"/>
      <c r="K23" s="28">
        <f>SUM(F23,H23,J23)</f>
        <v>24</v>
      </c>
      <c r="L23" s="40" t="str">
        <f t="shared" ca="1" si="50"/>
        <v/>
      </c>
      <c r="M23" s="40">
        <f t="shared" ca="1" si="50"/>
        <v>0.56000000000000005</v>
      </c>
      <c r="N23" s="40">
        <f t="shared" ca="1" si="50"/>
        <v>0.04</v>
      </c>
      <c r="O23" s="40" t="str">
        <f t="shared" ca="1" si="50"/>
        <v/>
      </c>
      <c r="P23" s="40" t="str">
        <f t="shared" ca="1" si="50"/>
        <v/>
      </c>
      <c r="Q23" s="40" t="str">
        <f t="shared" ca="1" si="50"/>
        <v/>
      </c>
      <c r="R23" s="40" t="str">
        <f t="shared" ca="1" si="50"/>
        <v/>
      </c>
      <c r="S23" s="40">
        <f t="shared" ca="1" si="50"/>
        <v>0.4</v>
      </c>
      <c r="T23" s="40" t="str">
        <f t="shared" ca="1" si="50"/>
        <v/>
      </c>
      <c r="U23" s="40" t="str">
        <f t="shared" ca="1" si="50"/>
        <v/>
      </c>
      <c r="V23" s="40" t="str">
        <f t="shared" ca="1" si="50"/>
        <v/>
      </c>
      <c r="W23" s="40" t="str">
        <f t="shared" ca="1" si="50"/>
        <v/>
      </c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32"/>
      <c r="BQ23" s="32">
        <v>1</v>
      </c>
      <c r="BR23" s="32">
        <v>1</v>
      </c>
      <c r="BS23" s="32">
        <v>1</v>
      </c>
      <c r="BT23" s="32">
        <v>1</v>
      </c>
      <c r="BU23" s="32">
        <v>1</v>
      </c>
      <c r="BV23" s="32">
        <v>1</v>
      </c>
      <c r="BW23" s="32">
        <v>1</v>
      </c>
      <c r="BX23" s="32">
        <v>1</v>
      </c>
      <c r="BY23" s="32">
        <v>1</v>
      </c>
      <c r="BZ23" s="32">
        <v>1</v>
      </c>
      <c r="CA23" s="32">
        <v>1</v>
      </c>
      <c r="CB23" s="32">
        <v>1</v>
      </c>
      <c r="CC23" s="32">
        <v>1</v>
      </c>
      <c r="CD23" s="32">
        <v>1</v>
      </c>
      <c r="CE23" s="32">
        <v>1</v>
      </c>
      <c r="CF23" s="32"/>
      <c r="CG23" s="32"/>
      <c r="CH23" s="32"/>
      <c r="CI23" s="32"/>
      <c r="CJ23" s="32"/>
      <c r="CK23" s="32"/>
      <c r="CL23" s="32"/>
      <c r="CM23" s="32"/>
      <c r="CN23" s="32"/>
      <c r="CO23" s="32"/>
      <c r="CP23" s="32"/>
      <c r="CQ23" s="32"/>
      <c r="CR23" s="32"/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/>
      <c r="DD23" s="32"/>
      <c r="DE23" s="32"/>
      <c r="DF23" s="32"/>
      <c r="DG23" s="32"/>
      <c r="DH23" s="32"/>
      <c r="DI23" s="32"/>
      <c r="DJ23" s="32"/>
      <c r="DK23" s="32"/>
      <c r="DL23" s="32"/>
      <c r="DM23" s="32"/>
      <c r="DN23" s="32"/>
      <c r="DO23" s="32"/>
      <c r="DP23" s="32"/>
      <c r="DQ23" s="32"/>
      <c r="DR23" s="32"/>
      <c r="DS23" s="32"/>
      <c r="DT23" s="32"/>
      <c r="DU23" s="32"/>
      <c r="DV23" s="32"/>
      <c r="DW23" s="32"/>
      <c r="DX23" s="32"/>
      <c r="DY23" s="32"/>
      <c r="DZ23" s="32"/>
      <c r="EA23" s="32"/>
      <c r="EB23" s="32"/>
      <c r="EC23" s="32"/>
      <c r="ED23" s="32"/>
      <c r="EE23" s="32"/>
      <c r="EF23" s="32"/>
      <c r="EG23" s="32"/>
      <c r="EH23" s="32"/>
      <c r="EI23" s="32"/>
      <c r="EJ23" s="32"/>
      <c r="EK23" s="32"/>
      <c r="EL23" s="32"/>
      <c r="EM23" s="32"/>
      <c r="EN23" s="32"/>
      <c r="EO23" s="32"/>
      <c r="EP23" s="32"/>
      <c r="EQ23" s="32"/>
      <c r="ER23" s="32"/>
      <c r="ES23" s="32"/>
      <c r="ET23" s="32"/>
      <c r="EU23" s="32"/>
      <c r="EV23" s="32"/>
      <c r="EW23" s="32"/>
      <c r="EX23" s="32"/>
      <c r="EY23" s="32"/>
      <c r="EZ23" s="32"/>
      <c r="FA23" s="32"/>
      <c r="FB23" s="32"/>
      <c r="FC23" s="32"/>
      <c r="FD23" s="32"/>
      <c r="FE23" s="32"/>
      <c r="FF23" s="32"/>
      <c r="FG23" s="32"/>
      <c r="FH23" s="32"/>
      <c r="FI23" s="32"/>
      <c r="FJ23" s="32"/>
      <c r="FK23" s="32"/>
      <c r="FL23" s="32"/>
      <c r="FM23" s="32"/>
      <c r="FN23" s="32"/>
      <c r="FO23" s="32"/>
      <c r="FP23" s="32"/>
      <c r="FQ23" s="32"/>
      <c r="FR23" s="32"/>
      <c r="FS23" s="32"/>
      <c r="FT23" s="32"/>
      <c r="FU23" s="32"/>
      <c r="FV23" s="32"/>
      <c r="FW23" s="32"/>
      <c r="FX23" s="32"/>
      <c r="FY23" s="32"/>
      <c r="FZ23" s="32"/>
      <c r="GA23" s="32"/>
      <c r="GB23" s="32"/>
      <c r="GC23" s="32"/>
      <c r="GD23" s="32"/>
      <c r="GE23" s="32"/>
      <c r="GF23" s="32"/>
      <c r="GG23" s="32"/>
      <c r="GH23" s="32"/>
      <c r="GI23" s="32"/>
      <c r="GJ23" s="32"/>
      <c r="GK23" s="32"/>
      <c r="GL23" s="32"/>
      <c r="GM23" s="32"/>
      <c r="GN23" s="32"/>
      <c r="GO23" s="32"/>
      <c r="GP23" s="32"/>
      <c r="GQ23" s="32"/>
      <c r="GR23" s="32"/>
      <c r="GS23" s="32"/>
      <c r="GT23" s="32"/>
      <c r="GU23" s="32"/>
      <c r="GV23" s="32"/>
      <c r="GW23" s="32"/>
      <c r="GX23" s="32"/>
      <c r="GY23" s="32"/>
      <c r="GZ23" s="32"/>
      <c r="HA23" s="32"/>
      <c r="HB23" s="32"/>
      <c r="HC23" s="32"/>
      <c r="HD23" s="32"/>
      <c r="HE23" s="32"/>
      <c r="HF23" s="32"/>
      <c r="HG23" s="32"/>
      <c r="HH23" s="32"/>
      <c r="HI23" s="32"/>
      <c r="HJ23" s="32"/>
      <c r="HK23" s="32"/>
      <c r="HL23" s="32"/>
      <c r="HM23" s="32"/>
      <c r="HN23" s="32"/>
      <c r="HO23" s="32"/>
      <c r="HP23" s="32"/>
      <c r="HQ23" s="32"/>
      <c r="HR23" s="32"/>
      <c r="HS23" s="32"/>
      <c r="HT23" s="32"/>
      <c r="HU23" s="32"/>
      <c r="HV23" s="32"/>
      <c r="HW23" s="32"/>
      <c r="HX23" s="32"/>
      <c r="HY23" s="32"/>
      <c r="HZ23" s="32"/>
      <c r="IA23" s="32"/>
      <c r="IB23" s="32">
        <v>1</v>
      </c>
      <c r="IC23" s="32">
        <v>1</v>
      </c>
      <c r="ID23" s="32">
        <v>1</v>
      </c>
      <c r="IE23" s="32">
        <v>1</v>
      </c>
      <c r="IF23" s="32">
        <v>1</v>
      </c>
      <c r="IG23" s="32">
        <v>1</v>
      </c>
      <c r="IH23" s="32">
        <v>1</v>
      </c>
      <c r="II23" s="32">
        <v>1</v>
      </c>
      <c r="IJ23" s="32">
        <v>1</v>
      </c>
      <c r="IK23" s="32">
        <v>1</v>
      </c>
      <c r="IL23" s="32"/>
      <c r="IM23" s="32"/>
      <c r="IN23" s="32"/>
      <c r="IO23" s="32"/>
      <c r="IP23" s="32"/>
      <c r="IQ23" s="32"/>
      <c r="IR23" s="32"/>
      <c r="IS23" s="32"/>
      <c r="IT23" s="32"/>
      <c r="IU23" s="32"/>
      <c r="IV23" s="32"/>
      <c r="IW23" s="32"/>
      <c r="IX23" s="32"/>
      <c r="IY23" s="32"/>
      <c r="IZ23" s="32"/>
      <c r="JA23" s="32"/>
      <c r="JB23" s="32"/>
      <c r="JC23" s="32"/>
      <c r="JD23" s="32"/>
      <c r="JE23" s="32"/>
      <c r="JF23" s="32"/>
      <c r="JG23" s="32"/>
      <c r="JH23" s="32"/>
      <c r="JI23" s="32"/>
      <c r="JJ23" s="32"/>
      <c r="JK23" s="32"/>
      <c r="JL23" s="32"/>
      <c r="JM23" s="32"/>
      <c r="JN23" s="32"/>
      <c r="JO23" s="32"/>
      <c r="JP23" s="32"/>
      <c r="JQ23" s="32"/>
      <c r="JR23" s="32"/>
      <c r="JS23" s="32"/>
      <c r="JT23" s="32"/>
      <c r="JU23" s="32"/>
      <c r="JV23" s="32"/>
      <c r="JW23" s="32"/>
      <c r="JX23" s="32"/>
      <c r="JY23" s="32"/>
      <c r="JZ23" s="32"/>
      <c r="KA23" s="32"/>
      <c r="KB23" s="32"/>
      <c r="KC23" s="32"/>
      <c r="KD23" s="32"/>
      <c r="KE23" s="32"/>
      <c r="KF23" s="32"/>
      <c r="KG23" s="32"/>
      <c r="KH23" s="32"/>
      <c r="KI23" s="32"/>
      <c r="KJ23" s="32"/>
      <c r="KK23" s="32"/>
      <c r="KL23" s="32"/>
      <c r="KM23" s="32"/>
      <c r="KN23" s="32"/>
      <c r="KO23" s="32"/>
      <c r="KP23" s="32"/>
      <c r="KQ23" s="32"/>
      <c r="KR23" s="32"/>
      <c r="KS23" s="32"/>
      <c r="KT23" s="32"/>
      <c r="KU23" s="32"/>
      <c r="KV23" s="32"/>
      <c r="KW23" s="32"/>
      <c r="KX23" s="32"/>
      <c r="KY23" s="32"/>
      <c r="KZ23" s="32"/>
      <c r="LA23" s="32"/>
      <c r="LB23" s="32"/>
      <c r="LC23" s="32"/>
      <c r="LD23" s="32"/>
      <c r="LE23" s="32"/>
      <c r="LF23" s="32"/>
      <c r="LG23" s="32"/>
      <c r="LH23" s="32"/>
      <c r="LI23" s="32"/>
      <c r="LJ23" s="32"/>
      <c r="LK23" s="32"/>
      <c r="LL23" s="32"/>
      <c r="LM23" s="32"/>
      <c r="LN23" s="32"/>
      <c r="LO23" s="32"/>
      <c r="LP23" s="32"/>
      <c r="LQ23" s="32"/>
      <c r="LR23" s="32"/>
      <c r="LS23" s="32"/>
      <c r="LT23" s="32"/>
      <c r="LU23" s="32"/>
      <c r="LV23" s="32"/>
      <c r="LW23" s="32"/>
      <c r="LX23" s="32"/>
      <c r="LY23" s="32"/>
      <c r="LZ23" s="32"/>
      <c r="MA23" s="32"/>
      <c r="MB23" s="32"/>
      <c r="MC23" s="32"/>
      <c r="MD23" s="32"/>
      <c r="ME23" s="32"/>
      <c r="MF23" s="32"/>
      <c r="MG23" s="32"/>
      <c r="MH23" s="32"/>
      <c r="MI23" s="32"/>
      <c r="MJ23" s="32"/>
      <c r="MK23" s="32"/>
      <c r="ML23" s="32"/>
      <c r="MM23" s="32"/>
      <c r="MN23" s="32"/>
      <c r="MO23" s="32"/>
      <c r="MP23" s="32"/>
      <c r="MQ23" s="32"/>
      <c r="MR23" s="32"/>
      <c r="MS23" s="32"/>
      <c r="MT23" s="32"/>
      <c r="MU23" s="32"/>
      <c r="MV23" s="32"/>
      <c r="MW23" s="32"/>
      <c r="MX23" s="32"/>
      <c r="MY23" s="32"/>
      <c r="MZ23" s="32"/>
      <c r="NA23" s="32"/>
      <c r="NB23" s="32"/>
      <c r="NC23" s="32"/>
      <c r="ND23" s="32"/>
      <c r="NE23" s="32"/>
      <c r="NF23" s="32"/>
      <c r="NG23" s="32"/>
      <c r="NH23" s="32"/>
      <c r="NI23" s="32"/>
      <c r="NJ23" s="32"/>
      <c r="NK23" s="32"/>
      <c r="NL23" s="32"/>
      <c r="NM23" s="32"/>
      <c r="NN23" s="32"/>
      <c r="NO23" s="32"/>
      <c r="NP23" s="32"/>
      <c r="NQ23" s="32"/>
      <c r="NR23" s="32"/>
      <c r="NS23" s="32"/>
      <c r="NT23" s="32"/>
      <c r="NU23" s="32"/>
      <c r="NV23" s="32"/>
      <c r="NW23" s="32"/>
      <c r="NX23" s="33"/>
      <c r="NY23" s="41">
        <f>SUM(X23:NX23)</f>
        <v>25</v>
      </c>
      <c r="NZ23" s="55">
        <v>44621</v>
      </c>
      <c r="OA23" s="55">
        <v>44783</v>
      </c>
      <c r="OB23" s="55"/>
      <c r="OC23" s="55" t="str">
        <f>IF(Таблица2[[#This Row],[дата нач.1]]=""," ",TEXT(Таблица2[[#This Row],[дата нач.1]],"Д.МММ")&amp;"-"&amp;CHAR(10)&amp;TEXT(Таблица2[[#This Row],[конец1]],"Д.МММ") )</f>
        <v>15.фев-
1.мар</v>
      </c>
      <c r="OD23" s="55" t="str">
        <f>IF(Таблица2[[#This Row],[дата нач.2]]=""," ",TEXT(Таблица2[[#This Row],[дата нач.2]],"Д.МММ")&amp;"-"&amp;CHAR(10)&amp;TEXT(Таблица2[[#This Row],[конец2]],"Д.МММ") )</f>
        <v>1.авг-
10.авг</v>
      </c>
      <c r="OE23" s="55" t="str">
        <f>IF(Таблица2[[#This Row],[дата нач.3]]=""," ",TEXT(Таблица2[[#This Row],[дата нач.3]],"Д.МММ")&amp;"-"&amp;CHAR(10)&amp;TEXT(Таблица2[[#This Row],[конец3]],"Д.МММ") )</f>
        <v xml:space="preserve"> </v>
      </c>
    </row>
    <row r="24" spans="1:395" s="3" customForma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</row>
    <row r="25" spans="1:395" s="3" customForma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</row>
    <row r="26" spans="1:395" s="3" customForma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</row>
    <row r="27" spans="1:395" s="3" customForma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</row>
    <row r="28" spans="1:395" s="3" customForma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</row>
    <row r="29" spans="1:395" s="3" customForma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</row>
    <row r="30" spans="1:395" s="3" customForma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</row>
    <row r="31" spans="1:395" s="3" customForma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</row>
    <row r="32" spans="1:395" s="3" customForma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</row>
    <row r="33" spans="1:67" s="3" customForma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</row>
    <row r="34" spans="1:67" s="3" customForma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</row>
    <row r="35" spans="1:67" s="3" customForma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</row>
    <row r="36" spans="1:67" s="3" customForma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</row>
    <row r="37" spans="1:67" s="3" customForma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</row>
    <row r="38" spans="1:67" s="3" customForma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</row>
    <row r="39" spans="1:67" s="3" customForma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</row>
    <row r="40" spans="1:67" s="3" customForma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</row>
    <row r="41" spans="1:67" s="3" customFormat="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</row>
    <row r="42" spans="1:67" s="3" customFormat="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</row>
    <row r="43" spans="1:67" s="3" customFormat="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</row>
    <row r="44" spans="1:67" s="3" customForma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</row>
    <row r="45" spans="1:67" s="3" customFormat="1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</row>
    <row r="46" spans="1:67" s="3" customFormat="1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</row>
    <row r="47" spans="1:67" s="3" customFormat="1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</row>
    <row r="48" spans="1:67" s="3" customFormat="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</row>
    <row r="49" spans="1:67" s="3" customFormat="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</row>
    <row r="50" spans="1:67" s="3" customForma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</row>
    <row r="51" spans="1:67" s="3" customFormat="1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</row>
    <row r="52" spans="1:67" s="3" customFormat="1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</row>
    <row r="53" spans="1:67" s="3" customFormat="1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</row>
    <row r="54" spans="1:67" s="3" customFormat="1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</row>
    <row r="55" spans="1:67" s="3" customFormat="1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</row>
    <row r="56" spans="1:67" s="3" customFormat="1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</row>
    <row r="57" spans="1:67" s="3" customFormat="1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</row>
    <row r="58" spans="1:67" s="3" customFormat="1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</row>
    <row r="59" spans="1:67" s="3" customFormat="1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</row>
    <row r="60" spans="1:67" s="3" customFormat="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</row>
    <row r="61" spans="1:67" s="3" customFormat="1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</row>
    <row r="62" spans="1:67" s="3" customFormat="1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</row>
    <row r="63" spans="1:67" s="3" customFormat="1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</row>
    <row r="64" spans="1:67" s="3" customFormat="1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</row>
    <row r="65" spans="1:67" s="3" customFormat="1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</row>
    <row r="66" spans="1:67" s="3" customFormat="1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</row>
    <row r="67" spans="1:67" s="3" customFormat="1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</row>
    <row r="68" spans="1:67" s="3" customFormat="1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</row>
    <row r="69" spans="1:67" s="3" customFormat="1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</row>
    <row r="70" spans="1:67" s="3" customFormat="1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</row>
    <row r="71" spans="1:67" s="3" customFormat="1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</row>
    <row r="72" spans="1:67" s="3" customFormat="1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</row>
    <row r="73" spans="1:67" s="3" customFormat="1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</row>
    <row r="74" spans="1:67" s="3" customFormat="1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</row>
    <row r="75" spans="1:67" s="3" customFormat="1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</row>
    <row r="76" spans="1:67" s="3" customFormat="1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</row>
    <row r="77" spans="1:67" s="3" customFormat="1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</row>
    <row r="78" spans="1:67" s="3" customFormat="1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</row>
    <row r="79" spans="1:67" s="3" customForma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</row>
    <row r="80" spans="1:67" s="3" customForma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</row>
    <row r="81" spans="1:67" s="3" customForma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</row>
    <row r="82" spans="1:67" s="3" customForma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</row>
    <row r="83" spans="1:67" s="3" customForma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</row>
    <row r="84" spans="1:67" s="3" customFormat="1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</row>
    <row r="85" spans="1:67" s="3" customFormat="1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</row>
    <row r="86" spans="1:67" s="3" customFormat="1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</row>
    <row r="87" spans="1:67" s="3" customFormat="1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</row>
    <row r="88" spans="1:67" s="3" customFormat="1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</row>
    <row r="89" spans="1:67" s="3" customFormat="1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</row>
    <row r="90" spans="1:67" s="3" customFormat="1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</row>
    <row r="91" spans="1:67" s="3" customFormat="1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</row>
    <row r="92" spans="1:67" s="3" customFormat="1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</row>
    <row r="93" spans="1:67" s="3" customFormat="1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</row>
    <row r="94" spans="1:67" s="3" customFormat="1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</row>
    <row r="95" spans="1:67" s="3" customFormat="1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</row>
    <row r="96" spans="1:67" s="3" customFormat="1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</row>
    <row r="97" spans="1:67" s="3" customFormat="1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</row>
    <row r="98" spans="1:67" s="3" customFormat="1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</row>
    <row r="99" spans="1:67" s="3" customFormat="1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</row>
    <row r="100" spans="1:67" s="3" customFormat="1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</row>
    <row r="101" spans="1:67" s="3" customFormat="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</row>
    <row r="102" spans="1:67" s="3" customFormat="1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</row>
    <row r="103" spans="1:67" s="3" customFormat="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</row>
    <row r="104" spans="1:67" s="3" customFormat="1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</row>
    <row r="105" spans="1:67" s="3" customFormat="1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</row>
    <row r="106" spans="1:67" s="3" customFormat="1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</row>
    <row r="107" spans="1:67" s="3" customFormat="1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</row>
    <row r="108" spans="1:67" s="3" customFormat="1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</row>
    <row r="109" spans="1:67" s="3" customFormat="1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</row>
    <row r="110" spans="1:67" s="3" customFormat="1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</row>
    <row r="111" spans="1:67" s="3" customFormat="1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</row>
    <row r="112" spans="1:67" s="3" customFormat="1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</row>
    <row r="113" spans="1:67" s="3" customFormat="1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</row>
    <row r="114" spans="1:67" s="3" customFormat="1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</row>
    <row r="115" spans="1:67" s="3" customFormat="1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</row>
    <row r="116" spans="1:67" s="3" customFormat="1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</row>
    <row r="117" spans="1:67" s="3" customFormat="1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</row>
    <row r="118" spans="1:67" s="3" customFormat="1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</row>
    <row r="119" spans="1:67" s="3" customFormat="1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</row>
    <row r="120" spans="1:67" s="3" customFormat="1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</row>
    <row r="121" spans="1:67" s="3" customFormat="1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</row>
    <row r="122" spans="1:67" s="3" customFormat="1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</row>
    <row r="123" spans="1:67" s="3" customFormat="1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</row>
    <row r="124" spans="1:67" s="3" customFormat="1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</row>
    <row r="125" spans="1:67" s="3" customFormat="1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</row>
    <row r="126" spans="1:67" s="3" customFormat="1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</row>
    <row r="127" spans="1:67" s="3" customFormat="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</row>
    <row r="128" spans="1:67" s="3" customFormat="1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</row>
    <row r="129" spans="1:67" s="3" customFormat="1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</row>
    <row r="130" spans="1:67" s="3" customFormat="1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</row>
    <row r="131" spans="1:67" s="3" customFormat="1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</row>
    <row r="132" spans="1:67" s="3" customFormat="1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</row>
    <row r="133" spans="1:67" s="3" customFormat="1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</row>
    <row r="134" spans="1:67" s="3" customFormat="1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</row>
    <row r="135" spans="1:67" s="3" customFormat="1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</row>
    <row r="136" spans="1:67" s="3" customFormat="1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</row>
    <row r="137" spans="1:67" s="3" customFormat="1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</row>
    <row r="138" spans="1:67" s="3" customFormat="1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</row>
    <row r="139" spans="1:67" s="3" customFormat="1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</row>
    <row r="140" spans="1:67" s="3" customFormat="1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</row>
    <row r="141" spans="1:67" s="3" customFormat="1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</row>
    <row r="142" spans="1:67" s="3" customFormat="1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</row>
    <row r="143" spans="1:67" s="3" customFormat="1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</row>
    <row r="144" spans="1:67" s="3" customForma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</row>
    <row r="145" spans="1:67" s="3" customFormat="1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</row>
    <row r="146" spans="1:67" s="3" customFormat="1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</row>
    <row r="147" spans="1:67" s="3" customFormat="1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</row>
    <row r="148" spans="1:67" s="3" customFormat="1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</row>
    <row r="149" spans="1:67" s="3" customForma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</row>
    <row r="150" spans="1:67" s="3" customFormat="1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</row>
    <row r="151" spans="1:67" s="3" customFormat="1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</row>
    <row r="152" spans="1:67" s="3" customFormat="1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</row>
    <row r="153" spans="1:67" s="3" customForma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</row>
    <row r="154" spans="1:67" s="3" customFormat="1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</row>
    <row r="155" spans="1:67" s="3" customForma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</row>
    <row r="156" spans="1:67" s="3" customFormat="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</row>
    <row r="157" spans="1:67" s="3" customFormat="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</row>
    <row r="158" spans="1:67" s="3" customFormat="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</row>
    <row r="159" spans="1:67" s="3" customFormat="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</row>
    <row r="160" spans="1:67" s="3" customFormat="1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</row>
    <row r="161" spans="1:67" s="3" customFormat="1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</row>
    <row r="162" spans="1:67" s="3" customFormat="1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</row>
    <row r="163" spans="1:67" s="3" customFormat="1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</row>
    <row r="164" spans="1:67" s="3" customFormat="1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</row>
    <row r="165" spans="1:67" s="3" customFormat="1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</row>
    <row r="166" spans="1:67" s="3" customFormat="1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</row>
    <row r="167" spans="1:67" s="3" customFormat="1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</row>
    <row r="168" spans="1:67" s="3" customFormat="1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</row>
    <row r="169" spans="1:67" s="3" customFormat="1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</row>
    <row r="170" spans="1:67" s="3" customFormat="1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</row>
    <row r="171" spans="1:67" s="3" customFormat="1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</row>
    <row r="172" spans="1:67" s="3" customFormat="1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</row>
    <row r="173" spans="1:67" s="3" customFormat="1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</row>
    <row r="174" spans="1:67" s="3" customFormat="1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</row>
    <row r="175" spans="1:67" s="3" customFormat="1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</row>
    <row r="176" spans="1:67" s="3" customFormat="1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</row>
    <row r="177" spans="1:67" s="3" customFormat="1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</row>
    <row r="178" spans="1:67" s="3" customFormat="1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</row>
    <row r="179" spans="1:67" s="3" customFormat="1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</row>
    <row r="180" spans="1:67" s="3" customFormat="1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</row>
    <row r="181" spans="1:67" s="3" customFormat="1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</row>
    <row r="182" spans="1:67" s="3" customFormat="1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</row>
    <row r="183" spans="1:67" s="3" customFormat="1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</row>
    <row r="184" spans="1:67" s="3" customFormat="1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</row>
    <row r="185" spans="1:67" s="3" customFormat="1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</row>
    <row r="186" spans="1:67" s="3" customFormat="1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</row>
    <row r="187" spans="1:67" s="3" customFormat="1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</row>
    <row r="188" spans="1:67" s="3" customFormat="1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</row>
    <row r="189" spans="1:67" s="3" customFormat="1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</row>
    <row r="190" spans="1:67" s="3" customFormat="1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</row>
    <row r="191" spans="1:67" s="3" customFormat="1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</row>
    <row r="192" spans="1:67" s="3" customFormat="1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</row>
    <row r="193" spans="1:67" s="3" customFormat="1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</row>
    <row r="194" spans="1:67" s="3" customFormat="1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</row>
    <row r="195" spans="1:67" s="3" customFormat="1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</row>
    <row r="196" spans="1:67" s="3" customFormat="1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</row>
    <row r="197" spans="1:67" s="3" customFormat="1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</row>
    <row r="198" spans="1:67" s="3" customFormat="1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</row>
    <row r="199" spans="1:67" s="3" customFormat="1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</row>
    <row r="200" spans="1:67" s="3" customFormat="1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</row>
    <row r="201" spans="1:67" s="3" customFormat="1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</row>
    <row r="202" spans="1:67" s="3" customFormat="1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</row>
    <row r="203" spans="1:67" s="3" customFormat="1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</row>
    <row r="204" spans="1:67" s="3" customFormat="1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</row>
    <row r="205" spans="1:67" s="3" customFormat="1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</row>
    <row r="206" spans="1:67" s="3" customFormat="1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</row>
    <row r="207" spans="1:67" s="3" customFormat="1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</row>
    <row r="208" spans="1:67" s="3" customFormat="1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</row>
    <row r="209" spans="1:67" s="3" customFormat="1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</row>
    <row r="210" spans="1:67" s="3" customFormat="1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</row>
    <row r="211" spans="1:67" s="3" customFormat="1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</row>
    <row r="212" spans="1:67" s="3" customFormat="1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</row>
    <row r="213" spans="1:67" s="3" customFormat="1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</row>
    <row r="214" spans="1:67" s="3" customFormat="1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</row>
    <row r="215" spans="1:67" s="3" customFormat="1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</row>
    <row r="216" spans="1:67" s="3" customFormat="1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</row>
    <row r="217" spans="1:67" s="3" customFormat="1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</row>
    <row r="218" spans="1:67" s="3" customFormat="1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</row>
    <row r="219" spans="1:67" s="3" customFormat="1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</row>
    <row r="220" spans="1:67" s="3" customFormat="1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</row>
    <row r="221" spans="1:67" s="3" customFormat="1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</row>
    <row r="222" spans="1:67" s="3" customFormat="1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</row>
    <row r="223" spans="1:67" s="3" customFormat="1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</row>
    <row r="224" spans="1:67" s="3" customFormat="1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</row>
    <row r="225" spans="1:67" s="3" customFormat="1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</row>
    <row r="226" spans="1:67" s="3" customFormat="1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</row>
    <row r="227" spans="1:67" s="3" customFormat="1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</row>
    <row r="228" spans="1:67" s="3" customFormat="1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</row>
    <row r="229" spans="1:67" s="3" customFormat="1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</row>
    <row r="230" spans="1:67" s="3" customFormat="1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</row>
    <row r="231" spans="1:67" s="3" customFormat="1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</row>
    <row r="232" spans="1:67" s="3" customFormat="1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</row>
    <row r="233" spans="1:67" s="3" customFormat="1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</row>
    <row r="234" spans="1:67" s="3" customFormat="1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</row>
    <row r="235" spans="1:67" s="3" customFormat="1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</row>
    <row r="236" spans="1:67" s="3" customFormat="1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</row>
    <row r="237" spans="1:67" s="3" customFormat="1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</row>
    <row r="238" spans="1:67" s="3" customFormat="1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</row>
    <row r="239" spans="1:67" s="3" customFormat="1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</row>
    <row r="240" spans="1:67" s="3" customFormat="1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</row>
    <row r="241" spans="1:67" s="3" customFormat="1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</row>
    <row r="242" spans="1:67" s="3" customFormat="1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</row>
    <row r="243" spans="1:67" s="3" customFormat="1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</row>
    <row r="244" spans="1:67" s="3" customFormat="1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</row>
    <row r="245" spans="1:67" s="3" customFormat="1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</row>
    <row r="246" spans="1:67" s="3" customFormat="1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</row>
    <row r="247" spans="1:67" s="3" customFormat="1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</row>
    <row r="248" spans="1:67" s="3" customFormat="1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</row>
    <row r="249" spans="1:67" s="3" customFormat="1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</row>
    <row r="250" spans="1:67" s="3" customFormat="1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</row>
    <row r="251" spans="1:67" s="3" customFormat="1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</row>
    <row r="252" spans="1:67" s="3" customFormat="1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</row>
    <row r="253" spans="1:67" s="3" customFormat="1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</row>
    <row r="254" spans="1:67" s="3" customFormat="1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</row>
    <row r="255" spans="1:67" s="3" customFormat="1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</row>
    <row r="256" spans="1:67" s="3" customFormat="1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</row>
    <row r="257" spans="1:67" s="3" customFormat="1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</row>
    <row r="258" spans="1:67" s="3" customFormat="1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</row>
    <row r="259" spans="1:67" s="3" customFormat="1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</row>
    <row r="260" spans="1:67" s="3" customFormat="1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</row>
    <row r="261" spans="1:67" s="3" customFormat="1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</row>
    <row r="262" spans="1:67" s="3" customFormat="1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</row>
    <row r="263" spans="1:67" s="3" customFormat="1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</row>
    <row r="264" spans="1:67" s="3" customFormat="1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</row>
    <row r="265" spans="1:67" s="3" customFormat="1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</row>
    <row r="266" spans="1:67" s="3" customFormat="1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</row>
    <row r="267" spans="1:67" s="3" customFormat="1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</row>
    <row r="268" spans="1:67" s="3" customFormat="1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</row>
    <row r="269" spans="1:67" s="3" customFormat="1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</row>
    <row r="270" spans="1:67" s="3" customFormat="1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</row>
    <row r="271" spans="1:67" s="3" customFormat="1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</row>
    <row r="272" spans="1:67" s="3" customFormat="1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</row>
    <row r="273" spans="1:67" s="3" customFormat="1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</row>
    <row r="274" spans="1:67" s="3" customFormat="1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</row>
    <row r="275" spans="1:67" s="3" customFormat="1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</row>
    <row r="276" spans="1:67" s="3" customFormat="1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</row>
    <row r="277" spans="1:67" s="3" customFormat="1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</row>
    <row r="278" spans="1:67" s="3" customFormat="1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</row>
    <row r="279" spans="1:67" s="3" customFormat="1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</row>
    <row r="280" spans="1:67" s="3" customFormat="1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</row>
    <row r="281" spans="1:67" s="3" customFormat="1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</row>
    <row r="282" spans="1:67" s="3" customFormat="1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</row>
    <row r="283" spans="1:67" s="3" customFormat="1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</row>
    <row r="284" spans="1:67" s="3" customFormat="1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</row>
    <row r="285" spans="1:67" s="3" customFormat="1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</row>
    <row r="286" spans="1:67" s="3" customFormat="1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</row>
    <row r="287" spans="1:67" s="3" customFormat="1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</row>
    <row r="288" spans="1:67" s="3" customFormat="1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</row>
    <row r="289" spans="1:67" s="3" customForma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</row>
    <row r="290" spans="1:67" s="3" customForma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</row>
    <row r="291" spans="1:67" s="3" customForma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</row>
    <row r="292" spans="1:67" s="3" customForma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</row>
    <row r="293" spans="1:67" s="3" customForma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</row>
    <row r="294" spans="1:67" s="3" customForma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</row>
    <row r="295" spans="1:67" s="3" customForma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</row>
    <row r="296" spans="1:67" s="3" customForma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</row>
    <row r="297" spans="1:67" s="3" customForma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</row>
    <row r="298" spans="1:67" s="3" customForma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</row>
    <row r="299" spans="1:67" s="3" customForma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</row>
    <row r="300" spans="1:67" s="3" customForma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</row>
    <row r="301" spans="1:67" s="3" customForma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</row>
    <row r="302" spans="1:67" s="3" customForma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</row>
    <row r="303" spans="1:67" s="3" customForma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</row>
    <row r="304" spans="1:67" s="3" customForma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</row>
    <row r="305" spans="1:67" s="3" customForma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</row>
    <row r="306" spans="1:67" s="3" customForma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</row>
    <row r="307" spans="1:67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</row>
    <row r="308" spans="1:67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</row>
    <row r="309" spans="1:67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</row>
    <row r="310" spans="1:67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</row>
  </sheetData>
  <mergeCells count="29">
    <mergeCell ref="CE2:DI2"/>
    <mergeCell ref="CE3:DI3"/>
    <mergeCell ref="I6:J6"/>
    <mergeCell ref="G6:H6"/>
    <mergeCell ref="E6:F6"/>
    <mergeCell ref="L6:W6"/>
    <mergeCell ref="L3:W3"/>
    <mergeCell ref="X3:BB3"/>
    <mergeCell ref="X2:BB2"/>
    <mergeCell ref="BC2:CD2"/>
    <mergeCell ref="BC3:CD3"/>
    <mergeCell ref="DJ3:EM3"/>
    <mergeCell ref="DJ2:EM2"/>
    <mergeCell ref="EN3:FR3"/>
    <mergeCell ref="EN2:FR2"/>
    <mergeCell ref="FS3:GV3"/>
    <mergeCell ref="FS2:GV2"/>
    <mergeCell ref="GW3:IA3"/>
    <mergeCell ref="GW2:IA2"/>
    <mergeCell ref="IB3:JF3"/>
    <mergeCell ref="IB2:JF2"/>
    <mergeCell ref="JG3:KJ3"/>
    <mergeCell ref="JG2:KJ2"/>
    <mergeCell ref="KK3:LO3"/>
    <mergeCell ref="KK2:LO2"/>
    <mergeCell ref="LP3:MS3"/>
    <mergeCell ref="LP2:MS2"/>
    <mergeCell ref="MT3:NX3"/>
    <mergeCell ref="MT2:NX2"/>
  </mergeCells>
  <conditionalFormatting sqref="X14:NY101 X8:OW13 NZ14:OW97">
    <cfRule type="cellIs" dxfId="405" priority="9" operator="equal">
      <formula>1</formula>
    </cfRule>
  </conditionalFormatting>
  <conditionalFormatting sqref="X7:NX23">
    <cfRule type="expression" dxfId="404" priority="7">
      <formula>OR(WEEKDAY(X$1)=1,WEEKDAY(X$1)=7,X$5=1)</formula>
    </cfRule>
  </conditionalFormatting>
  <conditionalFormatting sqref="X4:NX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W4 X3:NX3">
    <cfRule type="cellIs" dxfId="403" priority="2" operator="lessThan">
      <formula>$I$3</formula>
    </cfRule>
  </conditionalFormatting>
  <conditionalFormatting sqref="L8:W23">
    <cfRule type="cellIs" dxfId="402" priority="1" operator="equal">
      <formula>1</formula>
    </cfRule>
  </conditionalFormatting>
  <dataValidations count="2">
    <dataValidation type="date" allowBlank="1" showInputMessage="1" showErrorMessage="1" errorTitle="Некорректная дата" error="Должен быть 2022г" sqref="I8:I23 G8:G23 E8:E23" xr:uid="{00000000-0002-0000-0000-000000000000}">
      <formula1>44562</formula1>
      <formula2>44926</formula2>
    </dataValidation>
    <dataValidation type="whole" operator="greaterThan" allowBlank="1" showInputMessage="1" showErrorMessage="1" errorTitle="Некорректное значение" error="Должно быть больше 0" sqref="F8:F23 H8:H23 J8:J23" xr:uid="{00000000-0002-0000-0000-000001000000}">
      <formula1>0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Лист1.Calc">
                <anchor moveWithCells="1" sizeWithCells="1">
                  <from>
                    <xdr:col>0</xdr:col>
                    <xdr:colOff>180975</xdr:colOff>
                    <xdr:row>1</xdr:row>
                    <xdr:rowOff>95250</xdr:rowOff>
                  </from>
                  <to>
                    <xdr:col>5</xdr:col>
                    <xdr:colOff>409575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showGridLines="0" workbookViewId="0">
      <selection activeCell="U51" sqref="U51"/>
    </sheetView>
  </sheetViews>
  <sheetFormatPr defaultRowHeight="15" x14ac:dyDescent="0.25"/>
  <cols>
    <col min="1" max="1" width="5.42578125" style="48" customWidth="1"/>
    <col min="2" max="16384" width="9.140625" style="48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S21"/>
  <sheetViews>
    <sheetView topLeftCell="B3" workbookViewId="0">
      <selection activeCell="L18" sqref="L18"/>
    </sheetView>
  </sheetViews>
  <sheetFormatPr defaultRowHeight="15" x14ac:dyDescent="0.25"/>
  <cols>
    <col min="1" max="1" width="23.85546875" customWidth="1"/>
    <col min="3" max="3" width="20.140625" bestFit="1" customWidth="1"/>
    <col min="4" max="4" width="10.7109375" customWidth="1"/>
    <col min="5" max="5" width="7.140625" customWidth="1"/>
    <col min="6" max="6" width="14.28515625" customWidth="1"/>
    <col min="7" max="7" width="7.140625" customWidth="1"/>
    <col min="8" max="8" width="14.28515625" customWidth="1"/>
    <col min="9" max="9" width="7.140625" customWidth="1"/>
    <col min="10" max="12" width="7" customWidth="1"/>
    <col min="13" max="14" width="7" bestFit="1" customWidth="1"/>
    <col min="15" max="15" width="13.85546875" bestFit="1" customWidth="1"/>
    <col min="16" max="17" width="13.7109375" bestFit="1" customWidth="1"/>
    <col min="18" max="18" width="13.7109375" customWidth="1"/>
    <col min="19" max="19" width="13.7109375" bestFit="1" customWidth="1"/>
    <col min="20" max="30" width="31" customWidth="1"/>
    <col min="31" max="31" width="13.140625" customWidth="1"/>
    <col min="32" max="32" width="17.85546875" customWidth="1"/>
    <col min="33" max="33" width="13.140625" customWidth="1"/>
    <col min="34" max="34" width="16.42578125" customWidth="1"/>
    <col min="35" max="35" width="13.5703125" customWidth="1"/>
    <col min="36" max="36" width="18.28515625" customWidth="1"/>
    <col min="37" max="37" width="13.7109375" customWidth="1"/>
    <col min="38" max="38" width="17.85546875" customWidth="1"/>
    <col min="39" max="39" width="11.28515625" customWidth="1"/>
    <col min="40" max="40" width="16" customWidth="1"/>
    <col min="41" max="41" width="12.140625" customWidth="1"/>
    <col min="42" max="42" width="16.85546875" customWidth="1"/>
    <col min="43" max="43" width="31" customWidth="1"/>
    <col min="44" max="44" width="5.5703125" customWidth="1"/>
    <col min="45" max="45" width="11.28515625" customWidth="1"/>
    <col min="46" max="46" width="16" customWidth="1"/>
    <col min="47" max="47" width="13.7109375" customWidth="1"/>
    <col min="48" max="48" width="18.42578125" customWidth="1"/>
    <col min="49" max="49" width="13.140625" customWidth="1"/>
    <col min="50" max="50" width="17.85546875" customWidth="1"/>
    <col min="51" max="51" width="13.140625" customWidth="1"/>
    <col min="52" max="52" width="16.42578125" customWidth="1"/>
    <col min="53" max="53" width="13.5703125" customWidth="1"/>
    <col min="54" max="54" width="18.28515625" customWidth="1"/>
    <col min="55" max="55" width="13.7109375" customWidth="1"/>
    <col min="56" max="56" width="17.85546875" customWidth="1"/>
    <col min="57" max="57" width="11.28515625" customWidth="1"/>
    <col min="58" max="58" width="16" customWidth="1"/>
    <col min="59" max="59" width="12.140625" customWidth="1"/>
    <col min="60" max="60" width="16.85546875" customWidth="1"/>
    <col min="61" max="61" width="27.5703125" customWidth="1"/>
    <col min="62" max="62" width="16" customWidth="1"/>
    <col min="63" max="63" width="13.7109375" customWidth="1"/>
    <col min="64" max="64" width="18.42578125" customWidth="1"/>
    <col min="65" max="65" width="13.140625" customWidth="1"/>
    <col min="66" max="66" width="17.85546875" customWidth="1"/>
    <col min="67" max="67" width="13.140625" customWidth="1"/>
    <col min="68" max="68" width="16.42578125" customWidth="1"/>
    <col min="69" max="69" width="13.5703125" customWidth="1"/>
    <col min="70" max="70" width="18.28515625" customWidth="1"/>
    <col min="71" max="71" width="13.7109375" customWidth="1"/>
    <col min="72" max="72" width="17.85546875" customWidth="1"/>
    <col min="73" max="73" width="11.28515625" customWidth="1"/>
    <col min="74" max="74" width="16" customWidth="1"/>
    <col min="75" max="75" width="12.140625" customWidth="1"/>
    <col min="76" max="76" width="16.85546875" customWidth="1"/>
    <col min="77" max="77" width="23.85546875" customWidth="1"/>
    <col min="78" max="78" width="5.5703125" customWidth="1"/>
    <col min="79" max="79" width="11.28515625" customWidth="1"/>
    <col min="80" max="80" width="16" customWidth="1"/>
    <col min="81" max="81" width="13.7109375" customWidth="1"/>
    <col min="82" max="82" width="18.42578125" customWidth="1"/>
    <col min="83" max="83" width="13.140625" customWidth="1"/>
    <col min="84" max="84" width="17.85546875" customWidth="1"/>
    <col min="85" max="85" width="13.140625" customWidth="1"/>
    <col min="86" max="86" width="16.42578125" customWidth="1"/>
    <col min="87" max="87" width="13.5703125" customWidth="1"/>
    <col min="88" max="88" width="18.28515625" customWidth="1"/>
    <col min="89" max="89" width="13.7109375" customWidth="1"/>
    <col min="90" max="90" width="17.85546875" bestFit="1" customWidth="1"/>
    <col min="91" max="91" width="11.28515625" customWidth="1"/>
    <col min="92" max="92" width="16" bestFit="1" customWidth="1"/>
    <col min="93" max="93" width="12.140625" customWidth="1"/>
    <col min="94" max="94" width="16.85546875" bestFit="1" customWidth="1"/>
    <col min="95" max="95" width="31" bestFit="1" customWidth="1"/>
    <col min="96" max="96" width="5.5703125" customWidth="1"/>
    <col min="97" max="97" width="11.28515625" customWidth="1"/>
    <col min="98" max="98" width="16" customWidth="1"/>
    <col min="99" max="99" width="13.7109375" customWidth="1"/>
    <col min="100" max="100" width="18.42578125" customWidth="1"/>
    <col min="101" max="101" width="13.140625" customWidth="1"/>
    <col min="102" max="102" width="17.85546875" bestFit="1" customWidth="1"/>
    <col min="103" max="103" width="13.140625" customWidth="1"/>
    <col min="104" max="104" width="16.42578125" customWidth="1"/>
    <col min="105" max="105" width="13.5703125" customWidth="1"/>
    <col min="106" max="106" width="18.28515625" bestFit="1" customWidth="1"/>
    <col min="107" max="107" width="13.7109375" customWidth="1"/>
    <col min="108" max="108" width="17.85546875" customWidth="1"/>
    <col min="109" max="109" width="11.28515625" customWidth="1"/>
    <col min="110" max="110" width="16" customWidth="1"/>
    <col min="111" max="111" width="12.140625" customWidth="1"/>
    <col min="112" max="112" width="16.85546875" customWidth="1"/>
    <col min="113" max="113" width="27.5703125" bestFit="1" customWidth="1"/>
    <col min="114" max="114" width="16.42578125" customWidth="1"/>
    <col min="115" max="115" width="13.7109375" customWidth="1"/>
    <col min="116" max="116" width="17.85546875" customWidth="1"/>
    <col min="117" max="117" width="23.85546875" customWidth="1"/>
    <col min="118" max="118" width="5.5703125" customWidth="1"/>
    <col min="119" max="119" width="11.28515625" customWidth="1"/>
    <col min="120" max="120" width="16" customWidth="1"/>
    <col min="121" max="121" width="13.7109375" customWidth="1"/>
    <col min="122" max="122" width="18.42578125" bestFit="1" customWidth="1"/>
    <col min="123" max="123" width="13.140625" customWidth="1"/>
    <col min="124" max="124" width="17.85546875" bestFit="1" customWidth="1"/>
    <col min="125" max="125" width="13.140625" customWidth="1"/>
    <col min="126" max="126" width="16.42578125" customWidth="1"/>
    <col min="127" max="127" width="13.5703125" customWidth="1"/>
    <col min="128" max="128" width="18.28515625" bestFit="1" customWidth="1"/>
    <col min="129" max="129" width="13.7109375" customWidth="1"/>
    <col min="130" max="130" width="17.85546875" customWidth="1"/>
    <col min="131" max="131" width="11.28515625" customWidth="1"/>
    <col min="132" max="132" width="16" customWidth="1"/>
    <col min="133" max="133" width="12.140625" customWidth="1"/>
    <col min="134" max="134" width="16.85546875" customWidth="1"/>
    <col min="135" max="135" width="12.7109375" customWidth="1"/>
    <col min="136" max="136" width="16" bestFit="1" customWidth="1"/>
    <col min="137" max="137" width="17.5703125" customWidth="1"/>
    <col min="138" max="138" width="13.7109375" customWidth="1"/>
    <col min="139" max="139" width="17.85546875" customWidth="1"/>
    <col min="140" max="140" width="17.5703125" bestFit="1" customWidth="1"/>
    <col min="141" max="141" width="12.7109375" customWidth="1"/>
    <col min="142" max="142" width="16" bestFit="1" customWidth="1"/>
    <col min="143" max="143" width="17.5703125" bestFit="1" customWidth="1"/>
    <col min="144" max="144" width="23.85546875" bestFit="1" customWidth="1"/>
    <col min="145" max="145" width="12.42578125" customWidth="1"/>
    <col min="146" max="146" width="17.28515625" bestFit="1" customWidth="1"/>
    <col min="147" max="147" width="13.7109375" customWidth="1"/>
    <col min="148" max="148" width="16.85546875" customWidth="1"/>
    <col min="149" max="149" width="18.42578125" bestFit="1" customWidth="1"/>
    <col min="150" max="151" width="12.140625" customWidth="1"/>
    <col min="152" max="152" width="16.85546875" customWidth="1"/>
    <col min="153" max="153" width="13.85546875" customWidth="1"/>
    <col min="154" max="154" width="13.85546875" bestFit="1" customWidth="1"/>
    <col min="155" max="155" width="18.5703125" bestFit="1" customWidth="1"/>
    <col min="156" max="156" width="13.28515625" bestFit="1" customWidth="1"/>
    <col min="157" max="157" width="17.85546875" bestFit="1" customWidth="1"/>
    <col min="158" max="158" width="18" bestFit="1" customWidth="1"/>
    <col min="159" max="159" width="13.28515625" customWidth="1"/>
    <col min="160" max="160" width="16.42578125" bestFit="1" customWidth="1"/>
    <col min="161" max="161" width="18" bestFit="1" customWidth="1"/>
    <col min="162" max="162" width="13.28515625" bestFit="1" customWidth="1"/>
    <col min="163" max="163" width="13.28515625" customWidth="1"/>
    <col min="164" max="164" width="13.7109375" bestFit="1" customWidth="1"/>
    <col min="165" max="165" width="18.42578125" bestFit="1" customWidth="1"/>
    <col min="166" max="166" width="18" bestFit="1" customWidth="1"/>
    <col min="167" max="167" width="13.85546875" bestFit="1" customWidth="1"/>
    <col min="168" max="168" width="18.28515625" customWidth="1"/>
    <col min="169" max="169" width="18.5703125" bestFit="1" customWidth="1"/>
    <col min="170" max="170" width="12.7109375" customWidth="1"/>
    <col min="171" max="171" width="16" bestFit="1" customWidth="1"/>
    <col min="172" max="172" width="17.5703125" bestFit="1" customWidth="1"/>
    <col min="173" max="173" width="13.7109375" bestFit="1" customWidth="1"/>
    <col min="174" max="174" width="17.85546875" bestFit="1" customWidth="1"/>
    <col min="175" max="175" width="17.5703125" bestFit="1" customWidth="1"/>
    <col min="176" max="176" width="12.140625" customWidth="1"/>
    <col min="177" max="177" width="12.140625" bestFit="1" customWidth="1"/>
    <col min="178" max="178" width="16.85546875" bestFit="1" customWidth="1"/>
    <col min="179" max="179" width="12.7109375" bestFit="1" customWidth="1"/>
    <col min="180" max="180" width="16" bestFit="1" customWidth="1"/>
    <col min="181" max="181" width="17.5703125" bestFit="1" customWidth="1"/>
    <col min="182" max="182" width="31" bestFit="1" customWidth="1"/>
    <col min="183" max="183" width="12.42578125" bestFit="1" customWidth="1"/>
    <col min="184" max="184" width="17.28515625" bestFit="1" customWidth="1"/>
    <col min="185" max="185" width="13.7109375" bestFit="1" customWidth="1"/>
    <col min="186" max="186" width="16.85546875" bestFit="1" customWidth="1"/>
    <col min="187" max="187" width="18.42578125" bestFit="1" customWidth="1"/>
    <col min="188" max="189" width="12.140625" bestFit="1" customWidth="1"/>
    <col min="190" max="190" width="16.85546875" bestFit="1" customWidth="1"/>
    <col min="191" max="192" width="13.85546875" bestFit="1" customWidth="1"/>
    <col min="193" max="193" width="18.5703125" bestFit="1" customWidth="1"/>
    <col min="194" max="194" width="13.28515625" bestFit="1" customWidth="1"/>
    <col min="195" max="195" width="17.85546875" bestFit="1" customWidth="1"/>
    <col min="196" max="196" width="18" bestFit="1" customWidth="1"/>
    <col min="197" max="197" width="13.28515625" bestFit="1" customWidth="1"/>
    <col min="198" max="198" width="16.42578125" bestFit="1" customWidth="1"/>
    <col min="199" max="199" width="18" bestFit="1" customWidth="1"/>
    <col min="200" max="201" width="13.28515625" bestFit="1" customWidth="1"/>
    <col min="202" max="202" width="13.7109375" bestFit="1" customWidth="1"/>
    <col min="203" max="203" width="18.42578125" bestFit="1" customWidth="1"/>
    <col min="204" max="204" width="18" bestFit="1" customWidth="1"/>
    <col min="205" max="205" width="13.85546875" bestFit="1" customWidth="1"/>
    <col min="206" max="206" width="18.28515625" bestFit="1" customWidth="1"/>
    <col min="207" max="207" width="18.5703125" bestFit="1" customWidth="1"/>
    <col min="208" max="208" width="12.7109375" bestFit="1" customWidth="1"/>
    <col min="209" max="209" width="16" bestFit="1" customWidth="1"/>
    <col min="210" max="210" width="17.5703125" bestFit="1" customWidth="1"/>
    <col min="211" max="211" width="13.7109375" bestFit="1" customWidth="1"/>
    <col min="212" max="212" width="17.85546875" bestFit="1" customWidth="1"/>
    <col min="213" max="213" width="17.5703125" bestFit="1" customWidth="1"/>
    <col min="214" max="215" width="12.140625" bestFit="1" customWidth="1"/>
    <col min="216" max="216" width="16.85546875" bestFit="1" customWidth="1"/>
    <col min="217" max="217" width="12.7109375" bestFit="1" customWidth="1"/>
    <col min="218" max="218" width="16" bestFit="1" customWidth="1"/>
    <col min="219" max="219" width="17.5703125" bestFit="1" customWidth="1"/>
    <col min="220" max="220" width="27.5703125" bestFit="1" customWidth="1"/>
    <col min="221" max="221" width="16.42578125" bestFit="1" customWidth="1"/>
    <col min="222" max="222" width="18" bestFit="1" customWidth="1"/>
    <col min="223" max="223" width="13.7109375" bestFit="1" customWidth="1"/>
    <col min="224" max="224" width="17.85546875" bestFit="1" customWidth="1"/>
    <col min="225" max="225" width="17.5703125" bestFit="1" customWidth="1"/>
    <col min="226" max="226" width="23.85546875" bestFit="1" customWidth="1"/>
    <col min="227" max="227" width="12.42578125" bestFit="1" customWidth="1"/>
    <col min="228" max="228" width="17.28515625" bestFit="1" customWidth="1"/>
    <col min="229" max="229" width="13.7109375" bestFit="1" customWidth="1"/>
    <col min="230" max="230" width="16.85546875" bestFit="1" customWidth="1"/>
    <col min="231" max="231" width="18.42578125" bestFit="1" customWidth="1"/>
    <col min="232" max="233" width="12.140625" bestFit="1" customWidth="1"/>
    <col min="234" max="234" width="16.85546875" bestFit="1" customWidth="1"/>
    <col min="235" max="236" width="13.85546875" bestFit="1" customWidth="1"/>
    <col min="237" max="237" width="18.5703125" bestFit="1" customWidth="1"/>
    <col min="238" max="238" width="13.28515625" bestFit="1" customWidth="1"/>
    <col min="239" max="239" width="17.85546875" bestFit="1" customWidth="1"/>
    <col min="240" max="240" width="18" bestFit="1" customWidth="1"/>
    <col min="241" max="241" width="13.28515625" bestFit="1" customWidth="1"/>
    <col min="242" max="242" width="16.42578125" bestFit="1" customWidth="1"/>
    <col min="243" max="243" width="18" bestFit="1" customWidth="1"/>
    <col min="244" max="245" width="13.28515625" bestFit="1" customWidth="1"/>
    <col min="246" max="246" width="13.7109375" bestFit="1" customWidth="1"/>
    <col min="247" max="247" width="18.42578125" bestFit="1" customWidth="1"/>
    <col min="248" max="248" width="18" bestFit="1" customWidth="1"/>
    <col min="249" max="249" width="13.85546875" bestFit="1" customWidth="1"/>
    <col min="250" max="250" width="18.28515625" bestFit="1" customWidth="1"/>
    <col min="251" max="251" width="18.5703125" bestFit="1" customWidth="1"/>
    <col min="252" max="252" width="12.7109375" bestFit="1" customWidth="1"/>
    <col min="253" max="253" width="16" bestFit="1" customWidth="1"/>
    <col min="254" max="254" width="17.5703125" bestFit="1" customWidth="1"/>
    <col min="255" max="255" width="13.7109375" bestFit="1" customWidth="1"/>
    <col min="256" max="256" width="17.85546875" bestFit="1" customWidth="1"/>
    <col min="257" max="257" width="17.5703125" bestFit="1" customWidth="1"/>
    <col min="258" max="259" width="12.140625" bestFit="1" customWidth="1"/>
    <col min="260" max="260" width="16.85546875" bestFit="1" customWidth="1"/>
    <col min="261" max="261" width="12.7109375" bestFit="1" customWidth="1"/>
    <col min="262" max="262" width="16" bestFit="1" customWidth="1"/>
    <col min="263" max="263" width="17.5703125" bestFit="1" customWidth="1"/>
  </cols>
  <sheetData>
    <row r="1" spans="1:19" x14ac:dyDescent="0.25">
      <c r="A1" s="58">
        <v>44562</v>
      </c>
    </row>
    <row r="2" spans="1:19" x14ac:dyDescent="0.25">
      <c r="A2" s="58">
        <v>44926</v>
      </c>
      <c r="C2" s="56" t="s">
        <v>802</v>
      </c>
      <c r="D2" t="s">
        <v>796</v>
      </c>
      <c r="E2" t="s">
        <v>797</v>
      </c>
      <c r="F2" t="s">
        <v>798</v>
      </c>
      <c r="G2" t="s">
        <v>799</v>
      </c>
      <c r="H2" t="s">
        <v>800</v>
      </c>
      <c r="I2" t="s">
        <v>801</v>
      </c>
      <c r="O2" s="56" t="s">
        <v>8</v>
      </c>
      <c r="P2" s="56" t="s">
        <v>7</v>
      </c>
      <c r="Q2" s="56" t="s">
        <v>772</v>
      </c>
      <c r="R2" s="56" t="s">
        <v>773</v>
      </c>
      <c r="S2" s="56" t="s">
        <v>774</v>
      </c>
    </row>
    <row r="3" spans="1:19" x14ac:dyDescent="0.25">
      <c r="C3" s="59" t="s">
        <v>768</v>
      </c>
      <c r="D3" s="57">
        <v>133988</v>
      </c>
      <c r="E3" s="57">
        <v>53</v>
      </c>
      <c r="F3" s="57">
        <v>152</v>
      </c>
      <c r="G3" s="57">
        <v>10</v>
      </c>
      <c r="H3" s="57">
        <v>0</v>
      </c>
      <c r="I3" s="57">
        <v>0</v>
      </c>
      <c r="J3" s="57"/>
      <c r="O3" t="s">
        <v>768</v>
      </c>
      <c r="P3" t="s">
        <v>822</v>
      </c>
      <c r="Q3" t="s">
        <v>804</v>
      </c>
    </row>
    <row r="4" spans="1:19" x14ac:dyDescent="0.25">
      <c r="C4" s="60" t="s">
        <v>822</v>
      </c>
      <c r="D4" s="57">
        <v>44576</v>
      </c>
      <c r="E4" s="57">
        <v>18</v>
      </c>
      <c r="F4" s="57">
        <v>0</v>
      </c>
      <c r="G4" s="57">
        <v>0</v>
      </c>
      <c r="H4" s="57">
        <v>0</v>
      </c>
      <c r="I4" s="57">
        <v>0</v>
      </c>
      <c r="J4" s="57"/>
      <c r="O4" t="s">
        <v>768</v>
      </c>
      <c r="P4" t="s">
        <v>823</v>
      </c>
      <c r="Q4" t="s">
        <v>806</v>
      </c>
      <c r="R4" t="s">
        <v>805</v>
      </c>
    </row>
    <row r="5" spans="1:19" x14ac:dyDescent="0.25">
      <c r="C5" s="60" t="s">
        <v>823</v>
      </c>
      <c r="D5" s="57">
        <v>44607</v>
      </c>
      <c r="E5" s="57">
        <v>15</v>
      </c>
      <c r="F5" s="57">
        <v>152</v>
      </c>
      <c r="G5" s="57">
        <v>10</v>
      </c>
      <c r="H5" s="57">
        <v>0</v>
      </c>
      <c r="I5" s="57">
        <v>0</v>
      </c>
      <c r="J5" s="57"/>
      <c r="O5" t="s">
        <v>768</v>
      </c>
      <c r="P5" t="s">
        <v>821</v>
      </c>
      <c r="Q5" t="s">
        <v>777</v>
      </c>
    </row>
    <row r="6" spans="1:19" x14ac:dyDescent="0.25">
      <c r="C6" s="60" t="s">
        <v>821</v>
      </c>
      <c r="D6" s="57">
        <v>44805</v>
      </c>
      <c r="E6" s="57">
        <v>20</v>
      </c>
      <c r="F6" s="57">
        <v>0</v>
      </c>
      <c r="G6" s="57">
        <v>0</v>
      </c>
      <c r="H6" s="57">
        <v>0</v>
      </c>
      <c r="I6" s="57">
        <v>0</v>
      </c>
      <c r="J6" s="57"/>
      <c r="O6" t="s">
        <v>807</v>
      </c>
      <c r="P6" t="s">
        <v>812</v>
      </c>
      <c r="Q6" t="s">
        <v>785</v>
      </c>
      <c r="R6" t="s">
        <v>793</v>
      </c>
      <c r="S6" t="s">
        <v>795</v>
      </c>
    </row>
    <row r="7" spans="1:19" x14ac:dyDescent="0.25">
      <c r="C7" s="59" t="s">
        <v>807</v>
      </c>
      <c r="D7" s="57">
        <v>312337</v>
      </c>
      <c r="E7" s="57">
        <v>71</v>
      </c>
      <c r="F7" s="57">
        <v>524</v>
      </c>
      <c r="G7" s="57">
        <v>58</v>
      </c>
      <c r="H7" s="57">
        <v>75</v>
      </c>
      <c r="I7" s="57">
        <v>21</v>
      </c>
      <c r="J7" s="57"/>
      <c r="O7" t="s">
        <v>807</v>
      </c>
      <c r="P7" t="s">
        <v>808</v>
      </c>
      <c r="Q7" t="s">
        <v>803</v>
      </c>
      <c r="R7" t="s">
        <v>787</v>
      </c>
    </row>
    <row r="8" spans="1:19" x14ac:dyDescent="0.25">
      <c r="C8" s="60" t="s">
        <v>812</v>
      </c>
      <c r="D8" s="57">
        <v>44600</v>
      </c>
      <c r="E8" s="57">
        <v>11</v>
      </c>
      <c r="F8" s="57">
        <v>74</v>
      </c>
      <c r="G8" s="57">
        <v>12</v>
      </c>
      <c r="H8" s="57">
        <v>46</v>
      </c>
      <c r="I8" s="57">
        <v>10</v>
      </c>
      <c r="J8" s="57"/>
      <c r="O8" t="s">
        <v>807</v>
      </c>
      <c r="P8" t="s">
        <v>814</v>
      </c>
      <c r="Q8" t="s">
        <v>781</v>
      </c>
    </row>
    <row r="9" spans="1:19" x14ac:dyDescent="0.25">
      <c r="C9" s="60" t="s">
        <v>808</v>
      </c>
      <c r="D9" s="57">
        <v>44609</v>
      </c>
      <c r="E9" s="57">
        <v>11</v>
      </c>
      <c r="F9" s="57">
        <v>267</v>
      </c>
      <c r="G9" s="57">
        <v>6</v>
      </c>
      <c r="H9" s="57">
        <v>0</v>
      </c>
      <c r="I9" s="57">
        <v>0</v>
      </c>
      <c r="J9" s="57"/>
      <c r="O9" t="s">
        <v>807</v>
      </c>
      <c r="P9" t="s">
        <v>813</v>
      </c>
      <c r="Q9" t="s">
        <v>780</v>
      </c>
      <c r="R9" t="s">
        <v>792</v>
      </c>
    </row>
    <row r="10" spans="1:19" x14ac:dyDescent="0.25">
      <c r="C10" s="60" t="s">
        <v>814</v>
      </c>
      <c r="D10" s="57">
        <v>44813</v>
      </c>
      <c r="E10" s="57">
        <v>12</v>
      </c>
      <c r="F10" s="57">
        <v>0</v>
      </c>
      <c r="G10" s="57">
        <v>0</v>
      </c>
      <c r="H10" s="57">
        <v>0</v>
      </c>
      <c r="I10" s="57">
        <v>0</v>
      </c>
      <c r="J10" s="57"/>
      <c r="O10" t="s">
        <v>807</v>
      </c>
      <c r="P10" t="s">
        <v>810</v>
      </c>
      <c r="Q10" t="s">
        <v>778</v>
      </c>
      <c r="R10" t="s">
        <v>788</v>
      </c>
      <c r="S10" t="s">
        <v>794</v>
      </c>
    </row>
    <row r="11" spans="1:19" x14ac:dyDescent="0.25">
      <c r="C11" s="60" t="s">
        <v>813</v>
      </c>
      <c r="D11" s="57">
        <v>44571</v>
      </c>
      <c r="E11" s="57">
        <v>12</v>
      </c>
      <c r="F11" s="57">
        <v>130</v>
      </c>
      <c r="G11" s="57">
        <v>21</v>
      </c>
      <c r="H11" s="57">
        <v>0</v>
      </c>
      <c r="I11" s="57">
        <v>0</v>
      </c>
      <c r="J11" s="57"/>
      <c r="O11" t="s">
        <v>807</v>
      </c>
      <c r="P11" t="s">
        <v>809</v>
      </c>
      <c r="Q11" t="s">
        <v>779</v>
      </c>
    </row>
    <row r="12" spans="1:19" x14ac:dyDescent="0.25">
      <c r="C12" s="60" t="s">
        <v>810</v>
      </c>
      <c r="D12" s="57">
        <v>44571</v>
      </c>
      <c r="E12" s="57">
        <v>10</v>
      </c>
      <c r="F12" s="57">
        <v>12</v>
      </c>
      <c r="G12" s="57">
        <v>3</v>
      </c>
      <c r="H12" s="57">
        <v>29</v>
      </c>
      <c r="I12" s="57">
        <v>11</v>
      </c>
      <c r="J12" s="57"/>
      <c r="O12" t="s">
        <v>807</v>
      </c>
      <c r="P12" t="s">
        <v>811</v>
      </c>
      <c r="Q12" t="s">
        <v>784</v>
      </c>
      <c r="R12" t="s">
        <v>791</v>
      </c>
    </row>
    <row r="13" spans="1:19" x14ac:dyDescent="0.25">
      <c r="C13" s="60" t="s">
        <v>809</v>
      </c>
      <c r="D13" s="57">
        <v>44602</v>
      </c>
      <c r="E13" s="57">
        <v>6</v>
      </c>
      <c r="F13" s="57">
        <v>0</v>
      </c>
      <c r="G13" s="57">
        <v>0</v>
      </c>
      <c r="H13" s="57">
        <v>0</v>
      </c>
      <c r="I13" s="57">
        <v>0</v>
      </c>
      <c r="J13" s="57"/>
      <c r="O13" t="s">
        <v>16</v>
      </c>
      <c r="P13" t="s">
        <v>817</v>
      </c>
      <c r="Q13" t="s">
        <v>782</v>
      </c>
      <c r="R13" t="s">
        <v>789</v>
      </c>
    </row>
    <row r="14" spans="1:19" x14ac:dyDescent="0.25">
      <c r="C14" s="60" t="s">
        <v>811</v>
      </c>
      <c r="D14" s="57">
        <v>44571</v>
      </c>
      <c r="E14" s="57">
        <v>9</v>
      </c>
      <c r="F14" s="57">
        <v>41</v>
      </c>
      <c r="G14" s="57">
        <v>16</v>
      </c>
      <c r="H14" s="57">
        <v>0</v>
      </c>
      <c r="I14" s="57">
        <v>0</v>
      </c>
      <c r="J14" s="57"/>
      <c r="O14" t="s">
        <v>16</v>
      </c>
      <c r="P14" t="s">
        <v>815</v>
      </c>
      <c r="Q14" t="s">
        <v>783</v>
      </c>
      <c r="R14" t="s">
        <v>790</v>
      </c>
    </row>
    <row r="15" spans="1:19" x14ac:dyDescent="0.25">
      <c r="C15" s="59" t="s">
        <v>16</v>
      </c>
      <c r="D15" s="57">
        <v>267974</v>
      </c>
      <c r="E15" s="57">
        <v>94</v>
      </c>
      <c r="F15" s="57">
        <v>377</v>
      </c>
      <c r="G15" s="57">
        <v>30</v>
      </c>
      <c r="H15" s="57">
        <v>0</v>
      </c>
      <c r="I15" s="57">
        <v>0</v>
      </c>
      <c r="J15" s="57"/>
      <c r="O15" t="s">
        <v>16</v>
      </c>
      <c r="P15" t="s">
        <v>816</v>
      </c>
      <c r="Q15" t="s">
        <v>780</v>
      </c>
    </row>
    <row r="16" spans="1:19" x14ac:dyDescent="0.25">
      <c r="C16" s="60" t="s">
        <v>817</v>
      </c>
      <c r="D16" s="57">
        <v>44601</v>
      </c>
      <c r="E16" s="57">
        <v>12</v>
      </c>
      <c r="F16" s="57">
        <v>167</v>
      </c>
      <c r="G16" s="57">
        <v>10</v>
      </c>
      <c r="H16" s="57">
        <v>0</v>
      </c>
      <c r="I16" s="57">
        <v>0</v>
      </c>
      <c r="J16" s="57"/>
      <c r="O16" t="s">
        <v>16</v>
      </c>
      <c r="P16" t="s">
        <v>818</v>
      </c>
      <c r="Q16" t="s">
        <v>781</v>
      </c>
    </row>
    <row r="17" spans="3:18" x14ac:dyDescent="0.25">
      <c r="C17" s="60" t="s">
        <v>815</v>
      </c>
      <c r="D17" s="57">
        <v>44594</v>
      </c>
      <c r="E17" s="57">
        <v>20</v>
      </c>
      <c r="F17" s="57">
        <v>160</v>
      </c>
      <c r="G17" s="57">
        <v>15</v>
      </c>
      <c r="H17" s="57">
        <v>0</v>
      </c>
      <c r="I17" s="57">
        <v>0</v>
      </c>
      <c r="O17" t="s">
        <v>16</v>
      </c>
      <c r="P17" t="s">
        <v>820</v>
      </c>
      <c r="Q17" t="s">
        <v>776</v>
      </c>
      <c r="R17" t="s">
        <v>786</v>
      </c>
    </row>
    <row r="18" spans="3:18" x14ac:dyDescent="0.25">
      <c r="C18" s="60" t="s">
        <v>816</v>
      </c>
      <c r="D18" s="57">
        <v>44571</v>
      </c>
      <c r="E18" s="57">
        <v>12</v>
      </c>
      <c r="F18" s="57">
        <v>0</v>
      </c>
      <c r="G18" s="57">
        <v>0</v>
      </c>
      <c r="H18" s="57">
        <v>0</v>
      </c>
      <c r="I18" s="57">
        <v>0</v>
      </c>
      <c r="O18" t="s">
        <v>16</v>
      </c>
      <c r="P18" t="s">
        <v>819</v>
      </c>
      <c r="Q18" t="s">
        <v>775</v>
      </c>
    </row>
    <row r="19" spans="3:18" x14ac:dyDescent="0.25">
      <c r="C19" s="60" t="s">
        <v>818</v>
      </c>
      <c r="D19" s="57">
        <v>44813</v>
      </c>
      <c r="E19" s="57">
        <v>12</v>
      </c>
      <c r="F19" s="57">
        <v>0</v>
      </c>
      <c r="G19" s="57">
        <v>0</v>
      </c>
      <c r="H19" s="57">
        <v>0</v>
      </c>
      <c r="I19" s="57">
        <v>0</v>
      </c>
    </row>
    <row r="20" spans="3:18" x14ac:dyDescent="0.25">
      <c r="C20" s="60" t="s">
        <v>820</v>
      </c>
      <c r="D20" s="57">
        <v>44743</v>
      </c>
      <c r="E20" s="57">
        <v>18</v>
      </c>
      <c r="F20" s="57">
        <v>50</v>
      </c>
      <c r="G20" s="57">
        <v>5</v>
      </c>
      <c r="H20" s="57">
        <v>0</v>
      </c>
      <c r="I20" s="57">
        <v>0</v>
      </c>
    </row>
    <row r="21" spans="3:18" x14ac:dyDescent="0.25">
      <c r="C21" s="60" t="s">
        <v>819</v>
      </c>
      <c r="D21" s="57">
        <v>44652</v>
      </c>
      <c r="E21" s="57">
        <v>20</v>
      </c>
      <c r="F21" s="57">
        <v>0</v>
      </c>
      <c r="G21" s="57">
        <v>0</v>
      </c>
      <c r="H21" s="57">
        <v>0</v>
      </c>
      <c r="I21" s="5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NB3"/>
  <sheetViews>
    <sheetView workbookViewId="0">
      <selection activeCell="A2" sqref="A2"/>
    </sheetView>
  </sheetViews>
  <sheetFormatPr defaultRowHeight="15" x14ac:dyDescent="0.25"/>
  <cols>
    <col min="1" max="9" width="11.85546875" customWidth="1"/>
    <col min="10" max="99" width="12.85546875" customWidth="1"/>
    <col min="100" max="366" width="13.85546875" customWidth="1"/>
  </cols>
  <sheetData>
    <row r="1" spans="1:366" ht="65.25" customHeight="1" x14ac:dyDescent="0.25">
      <c r="A1" s="46" t="s">
        <v>393</v>
      </c>
      <c r="B1" s="45" t="s">
        <v>401</v>
      </c>
      <c r="C1" s="45" t="s">
        <v>402</v>
      </c>
      <c r="D1" s="45" t="s">
        <v>403</v>
      </c>
      <c r="E1" s="45" t="s">
        <v>404</v>
      </c>
      <c r="F1" s="45" t="s">
        <v>405</v>
      </c>
      <c r="G1" s="45" t="s">
        <v>406</v>
      </c>
      <c r="H1" s="45" t="s">
        <v>407</v>
      </c>
      <c r="I1" s="45" t="s">
        <v>408</v>
      </c>
      <c r="J1" s="45" t="s">
        <v>409</v>
      </c>
      <c r="K1" s="45" t="s">
        <v>410</v>
      </c>
      <c r="L1" s="45" t="s">
        <v>411</v>
      </c>
      <c r="M1" s="45" t="s">
        <v>412</v>
      </c>
      <c r="N1" s="45" t="s">
        <v>413</v>
      </c>
      <c r="O1" s="45" t="s">
        <v>414</v>
      </c>
      <c r="P1" s="45" t="s">
        <v>415</v>
      </c>
      <c r="Q1" s="45" t="s">
        <v>416</v>
      </c>
      <c r="R1" s="45" t="s">
        <v>417</v>
      </c>
      <c r="S1" s="45" t="s">
        <v>418</v>
      </c>
      <c r="T1" s="45" t="s">
        <v>419</v>
      </c>
      <c r="U1" s="45" t="s">
        <v>420</v>
      </c>
      <c r="V1" s="45" t="s">
        <v>421</v>
      </c>
      <c r="W1" s="45" t="s">
        <v>422</v>
      </c>
      <c r="X1" s="45" t="s">
        <v>423</v>
      </c>
      <c r="Y1" s="45" t="s">
        <v>424</v>
      </c>
      <c r="Z1" s="45" t="s">
        <v>425</v>
      </c>
      <c r="AA1" s="45" t="s">
        <v>426</v>
      </c>
      <c r="AB1" s="45" t="s">
        <v>427</v>
      </c>
      <c r="AC1" s="45" t="s">
        <v>428</v>
      </c>
      <c r="AD1" s="45" t="s">
        <v>429</v>
      </c>
      <c r="AE1" s="45" t="s">
        <v>430</v>
      </c>
      <c r="AF1" s="45" t="s">
        <v>431</v>
      </c>
      <c r="AG1" s="45" t="s">
        <v>432</v>
      </c>
      <c r="AH1" s="45" t="s">
        <v>433</v>
      </c>
      <c r="AI1" s="45" t="s">
        <v>434</v>
      </c>
      <c r="AJ1" s="45" t="s">
        <v>435</v>
      </c>
      <c r="AK1" s="45" t="s">
        <v>436</v>
      </c>
      <c r="AL1" s="45" t="s">
        <v>437</v>
      </c>
      <c r="AM1" s="45" t="s">
        <v>438</v>
      </c>
      <c r="AN1" s="45" t="s">
        <v>439</v>
      </c>
      <c r="AO1" s="45" t="s">
        <v>440</v>
      </c>
      <c r="AP1" s="45" t="s">
        <v>441</v>
      </c>
      <c r="AQ1" s="45" t="s">
        <v>442</v>
      </c>
      <c r="AR1" s="45" t="s">
        <v>443</v>
      </c>
      <c r="AS1" s="45" t="s">
        <v>444</v>
      </c>
      <c r="AT1" s="45" t="s">
        <v>445</v>
      </c>
      <c r="AU1" s="45" t="s">
        <v>446</v>
      </c>
      <c r="AV1" s="45" t="s">
        <v>447</v>
      </c>
      <c r="AW1" s="45" t="s">
        <v>448</v>
      </c>
      <c r="AX1" s="45" t="s">
        <v>449</v>
      </c>
      <c r="AY1" s="45" t="s">
        <v>450</v>
      </c>
      <c r="AZ1" s="45" t="s">
        <v>451</v>
      </c>
      <c r="BA1" s="45" t="s">
        <v>452</v>
      </c>
      <c r="BB1" s="45" t="s">
        <v>453</v>
      </c>
      <c r="BC1" s="45" t="s">
        <v>454</v>
      </c>
      <c r="BD1" s="45" t="s">
        <v>455</v>
      </c>
      <c r="BE1" s="45" t="s">
        <v>456</v>
      </c>
      <c r="BF1" s="45" t="s">
        <v>457</v>
      </c>
      <c r="BG1" s="45" t="s">
        <v>458</v>
      </c>
      <c r="BH1" s="45" t="s">
        <v>459</v>
      </c>
      <c r="BI1" s="45" t="s">
        <v>460</v>
      </c>
      <c r="BJ1" s="45" t="s">
        <v>461</v>
      </c>
      <c r="BK1" s="45" t="s">
        <v>462</v>
      </c>
      <c r="BL1" s="45" t="s">
        <v>463</v>
      </c>
      <c r="BM1" s="45" t="s">
        <v>464</v>
      </c>
      <c r="BN1" s="45" t="s">
        <v>465</v>
      </c>
      <c r="BO1" s="45" t="s">
        <v>466</v>
      </c>
      <c r="BP1" s="45" t="s">
        <v>467</v>
      </c>
      <c r="BQ1" s="45" t="s">
        <v>468</v>
      </c>
      <c r="BR1" s="45" t="s">
        <v>469</v>
      </c>
      <c r="BS1" s="45" t="s">
        <v>470</v>
      </c>
      <c r="BT1" s="45" t="s">
        <v>471</v>
      </c>
      <c r="BU1" s="45" t="s">
        <v>472</v>
      </c>
      <c r="BV1" s="45" t="s">
        <v>473</v>
      </c>
      <c r="BW1" s="45" t="s">
        <v>474</v>
      </c>
      <c r="BX1" s="45" t="s">
        <v>475</v>
      </c>
      <c r="BY1" s="45" t="s">
        <v>476</v>
      </c>
      <c r="BZ1" s="45" t="s">
        <v>477</v>
      </c>
      <c r="CA1" s="45" t="s">
        <v>478</v>
      </c>
      <c r="CB1" s="45" t="s">
        <v>479</v>
      </c>
      <c r="CC1" s="45" t="s">
        <v>480</v>
      </c>
      <c r="CD1" s="45" t="s">
        <v>481</v>
      </c>
      <c r="CE1" s="45" t="s">
        <v>482</v>
      </c>
      <c r="CF1" s="45" t="s">
        <v>483</v>
      </c>
      <c r="CG1" s="45" t="s">
        <v>484</v>
      </c>
      <c r="CH1" s="45" t="s">
        <v>485</v>
      </c>
      <c r="CI1" s="45" t="s">
        <v>486</v>
      </c>
      <c r="CJ1" s="45" t="s">
        <v>487</v>
      </c>
      <c r="CK1" s="45" t="s">
        <v>488</v>
      </c>
      <c r="CL1" s="45" t="s">
        <v>489</v>
      </c>
      <c r="CM1" s="45" t="s">
        <v>490</v>
      </c>
      <c r="CN1" s="45" t="s">
        <v>491</v>
      </c>
      <c r="CO1" s="45" t="s">
        <v>492</v>
      </c>
      <c r="CP1" s="45" t="s">
        <v>493</v>
      </c>
      <c r="CQ1" s="45" t="s">
        <v>494</v>
      </c>
      <c r="CR1" s="45" t="s">
        <v>495</v>
      </c>
      <c r="CS1" s="45" t="s">
        <v>496</v>
      </c>
      <c r="CT1" s="45" t="s">
        <v>497</v>
      </c>
      <c r="CU1" s="45" t="s">
        <v>498</v>
      </c>
      <c r="CV1" s="45" t="s">
        <v>499</v>
      </c>
      <c r="CW1" s="45" t="s">
        <v>500</v>
      </c>
      <c r="CX1" s="45" t="s">
        <v>501</v>
      </c>
      <c r="CY1" s="45" t="s">
        <v>502</v>
      </c>
      <c r="CZ1" s="45" t="s">
        <v>503</v>
      </c>
      <c r="DA1" s="45" t="s">
        <v>504</v>
      </c>
      <c r="DB1" s="45" t="s">
        <v>505</v>
      </c>
      <c r="DC1" s="45" t="s">
        <v>506</v>
      </c>
      <c r="DD1" s="45" t="s">
        <v>507</v>
      </c>
      <c r="DE1" s="45" t="s">
        <v>508</v>
      </c>
      <c r="DF1" s="45" t="s">
        <v>509</v>
      </c>
      <c r="DG1" s="45" t="s">
        <v>510</v>
      </c>
      <c r="DH1" s="45" t="s">
        <v>511</v>
      </c>
      <c r="DI1" s="45" t="s">
        <v>512</v>
      </c>
      <c r="DJ1" s="45" t="s">
        <v>513</v>
      </c>
      <c r="DK1" s="45" t="s">
        <v>514</v>
      </c>
      <c r="DL1" s="45" t="s">
        <v>515</v>
      </c>
      <c r="DM1" s="45" t="s">
        <v>516</v>
      </c>
      <c r="DN1" s="45" t="s">
        <v>517</v>
      </c>
      <c r="DO1" s="45" t="s">
        <v>518</v>
      </c>
      <c r="DP1" s="45" t="s">
        <v>519</v>
      </c>
      <c r="DQ1" s="45" t="s">
        <v>520</v>
      </c>
      <c r="DR1" s="45" t="s">
        <v>521</v>
      </c>
      <c r="DS1" s="45" t="s">
        <v>522</v>
      </c>
      <c r="DT1" s="45" t="s">
        <v>523</v>
      </c>
      <c r="DU1" s="45" t="s">
        <v>524</v>
      </c>
      <c r="DV1" s="45" t="s">
        <v>525</v>
      </c>
      <c r="DW1" s="45" t="s">
        <v>526</v>
      </c>
      <c r="DX1" s="45" t="s">
        <v>527</v>
      </c>
      <c r="DY1" s="45" t="s">
        <v>528</v>
      </c>
      <c r="DZ1" s="45" t="s">
        <v>529</v>
      </c>
      <c r="EA1" s="45" t="s">
        <v>530</v>
      </c>
      <c r="EB1" s="45" t="s">
        <v>531</v>
      </c>
      <c r="EC1" s="45" t="s">
        <v>532</v>
      </c>
      <c r="ED1" s="45" t="s">
        <v>533</v>
      </c>
      <c r="EE1" s="45" t="s">
        <v>534</v>
      </c>
      <c r="EF1" s="45" t="s">
        <v>535</v>
      </c>
      <c r="EG1" s="45" t="s">
        <v>536</v>
      </c>
      <c r="EH1" s="45" t="s">
        <v>537</v>
      </c>
      <c r="EI1" s="45" t="s">
        <v>538</v>
      </c>
      <c r="EJ1" s="45" t="s">
        <v>539</v>
      </c>
      <c r="EK1" s="45" t="s">
        <v>540</v>
      </c>
      <c r="EL1" s="45" t="s">
        <v>541</v>
      </c>
      <c r="EM1" s="45" t="s">
        <v>542</v>
      </c>
      <c r="EN1" s="45" t="s">
        <v>543</v>
      </c>
      <c r="EO1" s="45" t="s">
        <v>544</v>
      </c>
      <c r="EP1" s="45" t="s">
        <v>545</v>
      </c>
      <c r="EQ1" s="45" t="s">
        <v>546</v>
      </c>
      <c r="ER1" s="45" t="s">
        <v>547</v>
      </c>
      <c r="ES1" s="45" t="s">
        <v>548</v>
      </c>
      <c r="ET1" s="45" t="s">
        <v>549</v>
      </c>
      <c r="EU1" s="45" t="s">
        <v>550</v>
      </c>
      <c r="EV1" s="45" t="s">
        <v>551</v>
      </c>
      <c r="EW1" s="45" t="s">
        <v>552</v>
      </c>
      <c r="EX1" s="45" t="s">
        <v>553</v>
      </c>
      <c r="EY1" s="45" t="s">
        <v>554</v>
      </c>
      <c r="EZ1" s="45" t="s">
        <v>555</v>
      </c>
      <c r="FA1" s="45" t="s">
        <v>556</v>
      </c>
      <c r="FB1" s="45" t="s">
        <v>557</v>
      </c>
      <c r="FC1" s="45" t="s">
        <v>558</v>
      </c>
      <c r="FD1" s="45" t="s">
        <v>559</v>
      </c>
      <c r="FE1" s="45" t="s">
        <v>560</v>
      </c>
      <c r="FF1" s="45" t="s">
        <v>561</v>
      </c>
      <c r="FG1" s="45" t="s">
        <v>562</v>
      </c>
      <c r="FH1" s="45" t="s">
        <v>563</v>
      </c>
      <c r="FI1" s="45" t="s">
        <v>564</v>
      </c>
      <c r="FJ1" s="45" t="s">
        <v>565</v>
      </c>
      <c r="FK1" s="45" t="s">
        <v>566</v>
      </c>
      <c r="FL1" s="45" t="s">
        <v>567</v>
      </c>
      <c r="FM1" s="45" t="s">
        <v>568</v>
      </c>
      <c r="FN1" s="45" t="s">
        <v>569</v>
      </c>
      <c r="FO1" s="45" t="s">
        <v>570</v>
      </c>
      <c r="FP1" s="45" t="s">
        <v>571</v>
      </c>
      <c r="FQ1" s="45" t="s">
        <v>572</v>
      </c>
      <c r="FR1" s="45" t="s">
        <v>573</v>
      </c>
      <c r="FS1" s="45" t="s">
        <v>574</v>
      </c>
      <c r="FT1" s="45" t="s">
        <v>575</v>
      </c>
      <c r="FU1" s="45" t="s">
        <v>576</v>
      </c>
      <c r="FV1" s="45" t="s">
        <v>577</v>
      </c>
      <c r="FW1" s="45" t="s">
        <v>578</v>
      </c>
      <c r="FX1" s="45" t="s">
        <v>579</v>
      </c>
      <c r="FY1" s="45" t="s">
        <v>580</v>
      </c>
      <c r="FZ1" s="45" t="s">
        <v>581</v>
      </c>
      <c r="GA1" s="45" t="s">
        <v>582</v>
      </c>
      <c r="GB1" s="45" t="s">
        <v>583</v>
      </c>
      <c r="GC1" s="45" t="s">
        <v>584</v>
      </c>
      <c r="GD1" s="45" t="s">
        <v>585</v>
      </c>
      <c r="GE1" s="45" t="s">
        <v>586</v>
      </c>
      <c r="GF1" s="45" t="s">
        <v>587</v>
      </c>
      <c r="GG1" s="45" t="s">
        <v>588</v>
      </c>
      <c r="GH1" s="45" t="s">
        <v>589</v>
      </c>
      <c r="GI1" s="45" t="s">
        <v>590</v>
      </c>
      <c r="GJ1" s="45" t="s">
        <v>591</v>
      </c>
      <c r="GK1" s="45" t="s">
        <v>592</v>
      </c>
      <c r="GL1" s="45" t="s">
        <v>593</v>
      </c>
      <c r="GM1" s="45" t="s">
        <v>594</v>
      </c>
      <c r="GN1" s="45" t="s">
        <v>595</v>
      </c>
      <c r="GO1" s="45" t="s">
        <v>596</v>
      </c>
      <c r="GP1" s="45" t="s">
        <v>597</v>
      </c>
      <c r="GQ1" s="45" t="s">
        <v>598</v>
      </c>
      <c r="GR1" s="45" t="s">
        <v>599</v>
      </c>
      <c r="GS1" s="45" t="s">
        <v>600</v>
      </c>
      <c r="GT1" s="45" t="s">
        <v>601</v>
      </c>
      <c r="GU1" s="45" t="s">
        <v>602</v>
      </c>
      <c r="GV1" s="45" t="s">
        <v>603</v>
      </c>
      <c r="GW1" s="45" t="s">
        <v>604</v>
      </c>
      <c r="GX1" s="45" t="s">
        <v>605</v>
      </c>
      <c r="GY1" s="45" t="s">
        <v>606</v>
      </c>
      <c r="GZ1" s="45" t="s">
        <v>607</v>
      </c>
      <c r="HA1" s="45" t="s">
        <v>608</v>
      </c>
      <c r="HB1" s="45" t="s">
        <v>609</v>
      </c>
      <c r="HC1" s="45" t="s">
        <v>610</v>
      </c>
      <c r="HD1" s="45" t="s">
        <v>611</v>
      </c>
      <c r="HE1" s="45" t="s">
        <v>612</v>
      </c>
      <c r="HF1" s="45" t="s">
        <v>613</v>
      </c>
      <c r="HG1" s="45" t="s">
        <v>614</v>
      </c>
      <c r="HH1" s="45" t="s">
        <v>615</v>
      </c>
      <c r="HI1" s="45" t="s">
        <v>616</v>
      </c>
      <c r="HJ1" s="45" t="s">
        <v>617</v>
      </c>
      <c r="HK1" s="45" t="s">
        <v>618</v>
      </c>
      <c r="HL1" s="45" t="s">
        <v>619</v>
      </c>
      <c r="HM1" s="45" t="s">
        <v>620</v>
      </c>
      <c r="HN1" s="45" t="s">
        <v>621</v>
      </c>
      <c r="HO1" s="45" t="s">
        <v>622</v>
      </c>
      <c r="HP1" s="45" t="s">
        <v>623</v>
      </c>
      <c r="HQ1" s="45" t="s">
        <v>624</v>
      </c>
      <c r="HR1" s="45" t="s">
        <v>625</v>
      </c>
      <c r="HS1" s="45" t="s">
        <v>626</v>
      </c>
      <c r="HT1" s="45" t="s">
        <v>627</v>
      </c>
      <c r="HU1" s="45" t="s">
        <v>628</v>
      </c>
      <c r="HV1" s="45" t="s">
        <v>629</v>
      </c>
      <c r="HW1" s="45" t="s">
        <v>630</v>
      </c>
      <c r="HX1" s="45" t="s">
        <v>631</v>
      </c>
      <c r="HY1" s="45" t="s">
        <v>632</v>
      </c>
      <c r="HZ1" s="45" t="s">
        <v>633</v>
      </c>
      <c r="IA1" s="45" t="s">
        <v>634</v>
      </c>
      <c r="IB1" s="45" t="s">
        <v>635</v>
      </c>
      <c r="IC1" s="45" t="s">
        <v>636</v>
      </c>
      <c r="ID1" s="45" t="s">
        <v>637</v>
      </c>
      <c r="IE1" s="45" t="s">
        <v>638</v>
      </c>
      <c r="IF1" s="45" t="s">
        <v>639</v>
      </c>
      <c r="IG1" s="45" t="s">
        <v>640</v>
      </c>
      <c r="IH1" s="45" t="s">
        <v>641</v>
      </c>
      <c r="II1" s="45" t="s">
        <v>642</v>
      </c>
      <c r="IJ1" s="45" t="s">
        <v>643</v>
      </c>
      <c r="IK1" s="45" t="s">
        <v>644</v>
      </c>
      <c r="IL1" s="45" t="s">
        <v>645</v>
      </c>
      <c r="IM1" s="45" t="s">
        <v>646</v>
      </c>
      <c r="IN1" s="45" t="s">
        <v>647</v>
      </c>
      <c r="IO1" s="45" t="s">
        <v>648</v>
      </c>
      <c r="IP1" s="45" t="s">
        <v>649</v>
      </c>
      <c r="IQ1" s="45" t="s">
        <v>650</v>
      </c>
      <c r="IR1" s="45" t="s">
        <v>651</v>
      </c>
      <c r="IS1" s="45" t="s">
        <v>652</v>
      </c>
      <c r="IT1" s="45" t="s">
        <v>653</v>
      </c>
      <c r="IU1" s="45" t="s">
        <v>654</v>
      </c>
      <c r="IV1" s="45" t="s">
        <v>655</v>
      </c>
      <c r="IW1" s="45" t="s">
        <v>656</v>
      </c>
      <c r="IX1" s="45" t="s">
        <v>657</v>
      </c>
      <c r="IY1" s="45" t="s">
        <v>658</v>
      </c>
      <c r="IZ1" s="45" t="s">
        <v>659</v>
      </c>
      <c r="JA1" s="45" t="s">
        <v>660</v>
      </c>
      <c r="JB1" s="45" t="s">
        <v>661</v>
      </c>
      <c r="JC1" s="45" t="s">
        <v>662</v>
      </c>
      <c r="JD1" s="45" t="s">
        <v>663</v>
      </c>
      <c r="JE1" s="45" t="s">
        <v>664</v>
      </c>
      <c r="JF1" s="45" t="s">
        <v>665</v>
      </c>
      <c r="JG1" s="45" t="s">
        <v>666</v>
      </c>
      <c r="JH1" s="45" t="s">
        <v>667</v>
      </c>
      <c r="JI1" s="45" t="s">
        <v>668</v>
      </c>
      <c r="JJ1" s="45" t="s">
        <v>669</v>
      </c>
      <c r="JK1" s="45" t="s">
        <v>670</v>
      </c>
      <c r="JL1" s="45" t="s">
        <v>671</v>
      </c>
      <c r="JM1" s="45" t="s">
        <v>672</v>
      </c>
      <c r="JN1" s="45" t="s">
        <v>673</v>
      </c>
      <c r="JO1" s="45" t="s">
        <v>674</v>
      </c>
      <c r="JP1" s="45" t="s">
        <v>675</v>
      </c>
      <c r="JQ1" s="45" t="s">
        <v>676</v>
      </c>
      <c r="JR1" s="45" t="s">
        <v>677</v>
      </c>
      <c r="JS1" s="45" t="s">
        <v>678</v>
      </c>
      <c r="JT1" s="45" t="s">
        <v>679</v>
      </c>
      <c r="JU1" s="45" t="s">
        <v>680</v>
      </c>
      <c r="JV1" s="45" t="s">
        <v>681</v>
      </c>
      <c r="JW1" s="45" t="s">
        <v>682</v>
      </c>
      <c r="JX1" s="45" t="s">
        <v>683</v>
      </c>
      <c r="JY1" s="45" t="s">
        <v>684</v>
      </c>
      <c r="JZ1" s="45" t="s">
        <v>685</v>
      </c>
      <c r="KA1" s="45" t="s">
        <v>686</v>
      </c>
      <c r="KB1" s="45" t="s">
        <v>687</v>
      </c>
      <c r="KC1" s="45" t="s">
        <v>688</v>
      </c>
      <c r="KD1" s="45" t="s">
        <v>689</v>
      </c>
      <c r="KE1" s="45" t="s">
        <v>690</v>
      </c>
      <c r="KF1" s="45" t="s">
        <v>691</v>
      </c>
      <c r="KG1" s="45" t="s">
        <v>692</v>
      </c>
      <c r="KH1" s="45" t="s">
        <v>693</v>
      </c>
      <c r="KI1" s="45" t="s">
        <v>694</v>
      </c>
      <c r="KJ1" s="45" t="s">
        <v>695</v>
      </c>
      <c r="KK1" s="45" t="s">
        <v>696</v>
      </c>
      <c r="KL1" s="45" t="s">
        <v>697</v>
      </c>
      <c r="KM1" s="45" t="s">
        <v>698</v>
      </c>
      <c r="KN1" s="45" t="s">
        <v>699</v>
      </c>
      <c r="KO1" s="45" t="s">
        <v>700</v>
      </c>
      <c r="KP1" s="45" t="s">
        <v>701</v>
      </c>
      <c r="KQ1" s="45" t="s">
        <v>702</v>
      </c>
      <c r="KR1" s="45" t="s">
        <v>703</v>
      </c>
      <c r="KS1" s="45" t="s">
        <v>704</v>
      </c>
      <c r="KT1" s="45" t="s">
        <v>705</v>
      </c>
      <c r="KU1" s="45" t="s">
        <v>706</v>
      </c>
      <c r="KV1" s="45" t="s">
        <v>707</v>
      </c>
      <c r="KW1" s="45" t="s">
        <v>708</v>
      </c>
      <c r="KX1" s="45" t="s">
        <v>709</v>
      </c>
      <c r="KY1" s="45" t="s">
        <v>710</v>
      </c>
      <c r="KZ1" s="45" t="s">
        <v>711</v>
      </c>
      <c r="LA1" s="45" t="s">
        <v>712</v>
      </c>
      <c r="LB1" s="45" t="s">
        <v>713</v>
      </c>
      <c r="LC1" s="45" t="s">
        <v>714</v>
      </c>
      <c r="LD1" s="45" t="s">
        <v>715</v>
      </c>
      <c r="LE1" s="45" t="s">
        <v>716</v>
      </c>
      <c r="LF1" s="45" t="s">
        <v>717</v>
      </c>
      <c r="LG1" s="45" t="s">
        <v>718</v>
      </c>
      <c r="LH1" s="45" t="s">
        <v>719</v>
      </c>
      <c r="LI1" s="45" t="s">
        <v>720</v>
      </c>
      <c r="LJ1" s="45" t="s">
        <v>721</v>
      </c>
      <c r="LK1" s="45" t="s">
        <v>722</v>
      </c>
      <c r="LL1" s="45" t="s">
        <v>723</v>
      </c>
      <c r="LM1" s="45" t="s">
        <v>724</v>
      </c>
      <c r="LN1" s="45" t="s">
        <v>725</v>
      </c>
      <c r="LO1" s="45" t="s">
        <v>726</v>
      </c>
      <c r="LP1" s="45" t="s">
        <v>727</v>
      </c>
      <c r="LQ1" s="45" t="s">
        <v>728</v>
      </c>
      <c r="LR1" s="45" t="s">
        <v>729</v>
      </c>
      <c r="LS1" s="45" t="s">
        <v>730</v>
      </c>
      <c r="LT1" s="45" t="s">
        <v>731</v>
      </c>
      <c r="LU1" s="45" t="s">
        <v>732</v>
      </c>
      <c r="LV1" s="45" t="s">
        <v>733</v>
      </c>
      <c r="LW1" s="45" t="s">
        <v>734</v>
      </c>
      <c r="LX1" s="45" t="s">
        <v>735</v>
      </c>
      <c r="LY1" s="45" t="s">
        <v>736</v>
      </c>
      <c r="LZ1" s="45" t="s">
        <v>737</v>
      </c>
      <c r="MA1" s="45" t="s">
        <v>738</v>
      </c>
      <c r="MB1" s="45" t="s">
        <v>739</v>
      </c>
      <c r="MC1" s="45" t="s">
        <v>740</v>
      </c>
      <c r="MD1" s="45" t="s">
        <v>741</v>
      </c>
      <c r="ME1" s="45" t="s">
        <v>742</v>
      </c>
      <c r="MF1" s="45" t="s">
        <v>743</v>
      </c>
      <c r="MG1" s="45" t="s">
        <v>744</v>
      </c>
      <c r="MH1" s="45" t="s">
        <v>745</v>
      </c>
      <c r="MI1" s="45" t="s">
        <v>746</v>
      </c>
      <c r="MJ1" s="45" t="s">
        <v>747</v>
      </c>
      <c r="MK1" s="45" t="s">
        <v>748</v>
      </c>
      <c r="ML1" s="45" t="s">
        <v>749</v>
      </c>
      <c r="MM1" s="45" t="s">
        <v>750</v>
      </c>
      <c r="MN1" s="45" t="s">
        <v>751</v>
      </c>
      <c r="MO1" s="45" t="s">
        <v>752</v>
      </c>
      <c r="MP1" s="45" t="s">
        <v>753</v>
      </c>
      <c r="MQ1" s="45" t="s">
        <v>754</v>
      </c>
      <c r="MR1" s="45" t="s">
        <v>755</v>
      </c>
      <c r="MS1" s="45" t="s">
        <v>756</v>
      </c>
      <c r="MT1" s="45" t="s">
        <v>757</v>
      </c>
      <c r="MU1" s="45" t="s">
        <v>758</v>
      </c>
      <c r="MV1" s="45" t="s">
        <v>759</v>
      </c>
      <c r="MW1" s="45" t="s">
        <v>760</v>
      </c>
      <c r="MX1" s="45" t="s">
        <v>761</v>
      </c>
      <c r="MY1" s="45" t="s">
        <v>762</v>
      </c>
      <c r="MZ1" s="45" t="s">
        <v>763</v>
      </c>
      <c r="NA1" s="45" t="s">
        <v>764</v>
      </c>
      <c r="NB1" s="45" t="s">
        <v>765</v>
      </c>
    </row>
    <row r="2" spans="1:366" ht="53.25" x14ac:dyDescent="0.25">
      <c r="A2" s="46" t="s">
        <v>399</v>
      </c>
      <c r="B2" s="45">
        <v>44562</v>
      </c>
      <c r="C2" s="45">
        <v>44563</v>
      </c>
      <c r="D2" s="45">
        <v>44564</v>
      </c>
      <c r="E2" s="45">
        <v>44565</v>
      </c>
      <c r="F2" s="45">
        <v>44566</v>
      </c>
      <c r="G2" s="45">
        <v>44567</v>
      </c>
      <c r="H2" s="45">
        <v>44568</v>
      </c>
      <c r="I2" s="45">
        <v>44569</v>
      </c>
      <c r="J2" s="45">
        <v>44570</v>
      </c>
      <c r="K2" s="45">
        <v>44571</v>
      </c>
      <c r="L2" s="45">
        <v>44572</v>
      </c>
      <c r="M2" s="45">
        <v>44573</v>
      </c>
      <c r="N2" s="45">
        <v>44574</v>
      </c>
      <c r="O2" s="45">
        <v>44575</v>
      </c>
      <c r="P2" s="45">
        <v>44576</v>
      </c>
      <c r="Q2" s="45">
        <v>44577</v>
      </c>
      <c r="R2" s="45">
        <v>44578</v>
      </c>
      <c r="S2" s="45">
        <v>44579</v>
      </c>
      <c r="T2" s="45">
        <v>44580</v>
      </c>
      <c r="U2" s="45">
        <v>44581</v>
      </c>
      <c r="V2" s="45">
        <v>44582</v>
      </c>
      <c r="W2" s="45">
        <v>44583</v>
      </c>
      <c r="X2" s="45">
        <v>44584</v>
      </c>
      <c r="Y2" s="45">
        <v>44585</v>
      </c>
      <c r="Z2" s="45">
        <v>44586</v>
      </c>
      <c r="AA2" s="45">
        <v>44587</v>
      </c>
      <c r="AB2" s="45">
        <v>44588</v>
      </c>
      <c r="AC2" s="45">
        <v>44589</v>
      </c>
      <c r="AD2" s="45">
        <v>44590</v>
      </c>
      <c r="AE2" s="45">
        <v>44591</v>
      </c>
      <c r="AF2" s="45">
        <v>44592</v>
      </c>
      <c r="AG2" s="45">
        <v>44593</v>
      </c>
      <c r="AH2" s="45">
        <v>44594</v>
      </c>
      <c r="AI2" s="45">
        <v>44595</v>
      </c>
      <c r="AJ2" s="45">
        <v>44596</v>
      </c>
      <c r="AK2" s="45">
        <v>44597</v>
      </c>
      <c r="AL2" s="45">
        <v>44598</v>
      </c>
      <c r="AM2" s="45">
        <v>44599</v>
      </c>
      <c r="AN2" s="45">
        <v>44600</v>
      </c>
      <c r="AO2" s="45">
        <v>44601</v>
      </c>
      <c r="AP2" s="45">
        <v>44602</v>
      </c>
      <c r="AQ2" s="45">
        <v>44603</v>
      </c>
      <c r="AR2" s="45">
        <v>44604</v>
      </c>
      <c r="AS2" s="45">
        <v>44605</v>
      </c>
      <c r="AT2" s="45">
        <v>44606</v>
      </c>
      <c r="AU2" s="45">
        <v>44607</v>
      </c>
      <c r="AV2" s="45">
        <v>44608</v>
      </c>
      <c r="AW2" s="45">
        <v>44609</v>
      </c>
      <c r="AX2" s="45">
        <v>44610</v>
      </c>
      <c r="AY2" s="45">
        <v>44611</v>
      </c>
      <c r="AZ2" s="45">
        <v>44612</v>
      </c>
      <c r="BA2" s="45">
        <v>44613</v>
      </c>
      <c r="BB2" s="45">
        <v>44614</v>
      </c>
      <c r="BC2" s="45">
        <v>44615</v>
      </c>
      <c r="BD2" s="45">
        <v>44616</v>
      </c>
      <c r="BE2" s="45">
        <v>44617</v>
      </c>
      <c r="BF2" s="45">
        <v>44618</v>
      </c>
      <c r="BG2" s="45">
        <v>44619</v>
      </c>
      <c r="BH2" s="45">
        <v>44620</v>
      </c>
      <c r="BI2" s="45">
        <v>44621</v>
      </c>
      <c r="BJ2" s="45">
        <v>44622</v>
      </c>
      <c r="BK2" s="45">
        <v>44623</v>
      </c>
      <c r="BL2" s="45">
        <v>44624</v>
      </c>
      <c r="BM2" s="45">
        <v>44625</v>
      </c>
      <c r="BN2" s="45">
        <v>44626</v>
      </c>
      <c r="BO2" s="45">
        <v>44627</v>
      </c>
      <c r="BP2" s="45">
        <v>44628</v>
      </c>
      <c r="BQ2" s="45">
        <v>44629</v>
      </c>
      <c r="BR2" s="45">
        <v>44630</v>
      </c>
      <c r="BS2" s="45">
        <v>44631</v>
      </c>
      <c r="BT2" s="45">
        <v>44632</v>
      </c>
      <c r="BU2" s="45">
        <v>44633</v>
      </c>
      <c r="BV2" s="45">
        <v>44634</v>
      </c>
      <c r="BW2" s="45">
        <v>44635</v>
      </c>
      <c r="BX2" s="45">
        <v>44636</v>
      </c>
      <c r="BY2" s="45">
        <v>44637</v>
      </c>
      <c r="BZ2" s="45">
        <v>44638</v>
      </c>
      <c r="CA2" s="45">
        <v>44639</v>
      </c>
      <c r="CB2" s="45">
        <v>44640</v>
      </c>
      <c r="CC2" s="45">
        <v>44641</v>
      </c>
      <c r="CD2" s="45">
        <v>44642</v>
      </c>
      <c r="CE2" s="45">
        <v>44643</v>
      </c>
      <c r="CF2" s="45">
        <v>44644</v>
      </c>
      <c r="CG2" s="45">
        <v>44645</v>
      </c>
      <c r="CH2" s="45">
        <v>44646</v>
      </c>
      <c r="CI2" s="45">
        <v>44647</v>
      </c>
      <c r="CJ2" s="45">
        <v>44648</v>
      </c>
      <c r="CK2" s="45">
        <v>44649</v>
      </c>
      <c r="CL2" s="45">
        <v>44650</v>
      </c>
      <c r="CM2" s="45">
        <v>44651</v>
      </c>
      <c r="CN2" s="45">
        <v>44652</v>
      </c>
      <c r="CO2" s="45">
        <v>44653</v>
      </c>
      <c r="CP2" s="45">
        <v>44654</v>
      </c>
      <c r="CQ2" s="45">
        <v>44655</v>
      </c>
      <c r="CR2" s="45">
        <v>44656</v>
      </c>
      <c r="CS2" s="45">
        <v>44657</v>
      </c>
      <c r="CT2" s="45">
        <v>44658</v>
      </c>
      <c r="CU2" s="45">
        <v>44659</v>
      </c>
      <c r="CV2" s="45">
        <v>44660</v>
      </c>
      <c r="CW2" s="45">
        <v>44661</v>
      </c>
      <c r="CX2" s="45">
        <v>44662</v>
      </c>
      <c r="CY2" s="45">
        <v>44663</v>
      </c>
      <c r="CZ2" s="45">
        <v>44664</v>
      </c>
      <c r="DA2" s="45">
        <v>44665</v>
      </c>
      <c r="DB2" s="45">
        <v>44666</v>
      </c>
      <c r="DC2" s="45">
        <v>44667</v>
      </c>
      <c r="DD2" s="45">
        <v>44668</v>
      </c>
      <c r="DE2" s="45">
        <v>44669</v>
      </c>
      <c r="DF2" s="45">
        <v>44670</v>
      </c>
      <c r="DG2" s="45">
        <v>44671</v>
      </c>
      <c r="DH2" s="45">
        <v>44672</v>
      </c>
      <c r="DI2" s="45">
        <v>44673</v>
      </c>
      <c r="DJ2" s="45">
        <v>44674</v>
      </c>
      <c r="DK2" s="45">
        <v>44675</v>
      </c>
      <c r="DL2" s="45">
        <v>44676</v>
      </c>
      <c r="DM2" s="45">
        <v>44677</v>
      </c>
      <c r="DN2" s="45">
        <v>44678</v>
      </c>
      <c r="DO2" s="45">
        <v>44679</v>
      </c>
      <c r="DP2" s="45">
        <v>44680</v>
      </c>
      <c r="DQ2" s="45">
        <v>44681</v>
      </c>
      <c r="DR2" s="45">
        <v>44682</v>
      </c>
      <c r="DS2" s="45">
        <v>44683</v>
      </c>
      <c r="DT2" s="45">
        <v>44684</v>
      </c>
      <c r="DU2" s="45">
        <v>44685</v>
      </c>
      <c r="DV2" s="45">
        <v>44686</v>
      </c>
      <c r="DW2" s="45">
        <v>44687</v>
      </c>
      <c r="DX2" s="45">
        <v>44688</v>
      </c>
      <c r="DY2" s="45">
        <v>44689</v>
      </c>
      <c r="DZ2" s="45">
        <v>44690</v>
      </c>
      <c r="EA2" s="45">
        <v>44691</v>
      </c>
      <c r="EB2" s="45">
        <v>44692</v>
      </c>
      <c r="EC2" s="45">
        <v>44693</v>
      </c>
      <c r="ED2" s="45">
        <v>44694</v>
      </c>
      <c r="EE2" s="45">
        <v>44695</v>
      </c>
      <c r="EF2" s="45">
        <v>44696</v>
      </c>
      <c r="EG2" s="45">
        <v>44697</v>
      </c>
      <c r="EH2" s="45">
        <v>44698</v>
      </c>
      <c r="EI2" s="45">
        <v>44699</v>
      </c>
      <c r="EJ2" s="45">
        <v>44700</v>
      </c>
      <c r="EK2" s="45">
        <v>44701</v>
      </c>
      <c r="EL2" s="45">
        <v>44702</v>
      </c>
      <c r="EM2" s="45">
        <v>44703</v>
      </c>
      <c r="EN2" s="45">
        <v>44704</v>
      </c>
      <c r="EO2" s="45">
        <v>44705</v>
      </c>
      <c r="EP2" s="45">
        <v>44706</v>
      </c>
      <c r="EQ2" s="45">
        <v>44707</v>
      </c>
      <c r="ER2" s="45">
        <v>44708</v>
      </c>
      <c r="ES2" s="45">
        <v>44709</v>
      </c>
      <c r="ET2" s="45">
        <v>44710</v>
      </c>
      <c r="EU2" s="45">
        <v>44711</v>
      </c>
      <c r="EV2" s="45">
        <v>44712</v>
      </c>
      <c r="EW2" s="45">
        <v>44713</v>
      </c>
      <c r="EX2" s="45">
        <v>44714</v>
      </c>
      <c r="EY2" s="45">
        <v>44715</v>
      </c>
      <c r="EZ2" s="45">
        <v>44716</v>
      </c>
      <c r="FA2" s="45">
        <v>44717</v>
      </c>
      <c r="FB2" s="45">
        <v>44718</v>
      </c>
      <c r="FC2" s="45">
        <v>44719</v>
      </c>
      <c r="FD2" s="45">
        <v>44720</v>
      </c>
      <c r="FE2" s="45">
        <v>44721</v>
      </c>
      <c r="FF2" s="45">
        <v>44722</v>
      </c>
      <c r="FG2" s="45">
        <v>44723</v>
      </c>
      <c r="FH2" s="45">
        <v>44724</v>
      </c>
      <c r="FI2" s="45">
        <v>44725</v>
      </c>
      <c r="FJ2" s="45">
        <v>44726</v>
      </c>
      <c r="FK2" s="45">
        <v>44727</v>
      </c>
      <c r="FL2" s="45">
        <v>44728</v>
      </c>
      <c r="FM2" s="45">
        <v>44729</v>
      </c>
      <c r="FN2" s="45">
        <v>44730</v>
      </c>
      <c r="FO2" s="45">
        <v>44731</v>
      </c>
      <c r="FP2" s="45">
        <v>44732</v>
      </c>
      <c r="FQ2" s="45">
        <v>44733</v>
      </c>
      <c r="FR2" s="45">
        <v>44734</v>
      </c>
      <c r="FS2" s="45">
        <v>44735</v>
      </c>
      <c r="FT2" s="45">
        <v>44736</v>
      </c>
      <c r="FU2" s="45">
        <v>44737</v>
      </c>
      <c r="FV2" s="45">
        <v>44738</v>
      </c>
      <c r="FW2" s="45">
        <v>44739</v>
      </c>
      <c r="FX2" s="45">
        <v>44740</v>
      </c>
      <c r="FY2" s="45">
        <v>44741</v>
      </c>
      <c r="FZ2" s="45">
        <v>44742</v>
      </c>
      <c r="GA2" s="45">
        <v>44743</v>
      </c>
      <c r="GB2" s="45">
        <v>44744</v>
      </c>
      <c r="GC2" s="45">
        <v>44745</v>
      </c>
      <c r="GD2" s="45">
        <v>44746</v>
      </c>
      <c r="GE2" s="45">
        <v>44747</v>
      </c>
      <c r="GF2" s="45">
        <v>44748</v>
      </c>
      <c r="GG2" s="45">
        <v>44749</v>
      </c>
      <c r="GH2" s="45">
        <v>44750</v>
      </c>
      <c r="GI2" s="45">
        <v>44751</v>
      </c>
      <c r="GJ2" s="45">
        <v>44752</v>
      </c>
      <c r="GK2" s="45">
        <v>44753</v>
      </c>
      <c r="GL2" s="45">
        <v>44754</v>
      </c>
      <c r="GM2" s="45">
        <v>44755</v>
      </c>
      <c r="GN2" s="45">
        <v>44756</v>
      </c>
      <c r="GO2" s="45">
        <v>44757</v>
      </c>
      <c r="GP2" s="45">
        <v>44758</v>
      </c>
      <c r="GQ2" s="45">
        <v>44759</v>
      </c>
      <c r="GR2" s="45">
        <v>44760</v>
      </c>
      <c r="GS2" s="45">
        <v>44761</v>
      </c>
      <c r="GT2" s="45">
        <v>44762</v>
      </c>
      <c r="GU2" s="45">
        <v>44763</v>
      </c>
      <c r="GV2" s="45">
        <v>44764</v>
      </c>
      <c r="GW2" s="45">
        <v>44765</v>
      </c>
      <c r="GX2" s="45">
        <v>44766</v>
      </c>
      <c r="GY2" s="45">
        <v>44767</v>
      </c>
      <c r="GZ2" s="45">
        <v>44768</v>
      </c>
      <c r="HA2" s="45">
        <v>44769</v>
      </c>
      <c r="HB2" s="45">
        <v>44770</v>
      </c>
      <c r="HC2" s="45">
        <v>44771</v>
      </c>
      <c r="HD2" s="45">
        <v>44772</v>
      </c>
      <c r="HE2" s="45">
        <v>44773</v>
      </c>
      <c r="HF2" s="45">
        <v>44774</v>
      </c>
      <c r="HG2" s="45">
        <v>44775</v>
      </c>
      <c r="HH2" s="45">
        <v>44776</v>
      </c>
      <c r="HI2" s="45">
        <v>44777</v>
      </c>
      <c r="HJ2" s="45">
        <v>44778</v>
      </c>
      <c r="HK2" s="45">
        <v>44779</v>
      </c>
      <c r="HL2" s="45">
        <v>44780</v>
      </c>
      <c r="HM2" s="45">
        <v>44781</v>
      </c>
      <c r="HN2" s="45">
        <v>44782</v>
      </c>
      <c r="HO2" s="45">
        <v>44783</v>
      </c>
      <c r="HP2" s="45">
        <v>44784</v>
      </c>
      <c r="HQ2" s="45">
        <v>44785</v>
      </c>
      <c r="HR2" s="45">
        <v>44786</v>
      </c>
      <c r="HS2" s="45">
        <v>44787</v>
      </c>
      <c r="HT2" s="45">
        <v>44788</v>
      </c>
      <c r="HU2" s="45">
        <v>44789</v>
      </c>
      <c r="HV2" s="45">
        <v>44790</v>
      </c>
      <c r="HW2" s="45">
        <v>44791</v>
      </c>
      <c r="HX2" s="45">
        <v>44792</v>
      </c>
      <c r="HY2" s="45">
        <v>44793</v>
      </c>
      <c r="HZ2" s="45">
        <v>44794</v>
      </c>
      <c r="IA2" s="45">
        <v>44795</v>
      </c>
      <c r="IB2" s="45">
        <v>44796</v>
      </c>
      <c r="IC2" s="45">
        <v>44797</v>
      </c>
      <c r="ID2" s="45">
        <v>44798</v>
      </c>
      <c r="IE2" s="45">
        <v>44799</v>
      </c>
      <c r="IF2" s="45">
        <v>44800</v>
      </c>
      <c r="IG2" s="45">
        <v>44801</v>
      </c>
      <c r="IH2" s="45">
        <v>44802</v>
      </c>
      <c r="II2" s="45">
        <v>44803</v>
      </c>
      <c r="IJ2" s="45">
        <v>44804</v>
      </c>
      <c r="IK2" s="45">
        <v>44805</v>
      </c>
      <c r="IL2" s="45">
        <v>44806</v>
      </c>
      <c r="IM2" s="45">
        <v>44807</v>
      </c>
      <c r="IN2" s="45">
        <v>44808</v>
      </c>
      <c r="IO2" s="45">
        <v>44809</v>
      </c>
      <c r="IP2" s="45">
        <v>44810</v>
      </c>
      <c r="IQ2" s="45">
        <v>44811</v>
      </c>
      <c r="IR2" s="45">
        <v>44812</v>
      </c>
      <c r="IS2" s="45">
        <v>44813</v>
      </c>
      <c r="IT2" s="45">
        <v>44814</v>
      </c>
      <c r="IU2" s="45">
        <v>44815</v>
      </c>
      <c r="IV2" s="45">
        <v>44816</v>
      </c>
      <c r="IW2" s="45">
        <v>44817</v>
      </c>
      <c r="IX2" s="45">
        <v>44818</v>
      </c>
      <c r="IY2" s="45">
        <v>44819</v>
      </c>
      <c r="IZ2" s="45">
        <v>44820</v>
      </c>
      <c r="JA2" s="45">
        <v>44821</v>
      </c>
      <c r="JB2" s="45">
        <v>44822</v>
      </c>
      <c r="JC2" s="45">
        <v>44823</v>
      </c>
      <c r="JD2" s="45">
        <v>44824</v>
      </c>
      <c r="JE2" s="45">
        <v>44825</v>
      </c>
      <c r="JF2" s="45">
        <v>44826</v>
      </c>
      <c r="JG2" s="45">
        <v>44827</v>
      </c>
      <c r="JH2" s="45">
        <v>44828</v>
      </c>
      <c r="JI2" s="45">
        <v>44829</v>
      </c>
      <c r="JJ2" s="45">
        <v>44830</v>
      </c>
      <c r="JK2" s="45">
        <v>44831</v>
      </c>
      <c r="JL2" s="45">
        <v>44832</v>
      </c>
      <c r="JM2" s="45">
        <v>44833</v>
      </c>
      <c r="JN2" s="45">
        <v>44834</v>
      </c>
      <c r="JO2" s="45">
        <v>44835</v>
      </c>
      <c r="JP2" s="45">
        <v>44836</v>
      </c>
      <c r="JQ2" s="45">
        <v>44837</v>
      </c>
      <c r="JR2" s="45">
        <v>44838</v>
      </c>
      <c r="JS2" s="45">
        <v>44839</v>
      </c>
      <c r="JT2" s="45">
        <v>44840</v>
      </c>
      <c r="JU2" s="45">
        <v>44841</v>
      </c>
      <c r="JV2" s="45">
        <v>44842</v>
      </c>
      <c r="JW2" s="45">
        <v>44843</v>
      </c>
      <c r="JX2" s="45">
        <v>44844</v>
      </c>
      <c r="JY2" s="45">
        <v>44845</v>
      </c>
      <c r="JZ2" s="45">
        <v>44846</v>
      </c>
      <c r="KA2" s="45">
        <v>44847</v>
      </c>
      <c r="KB2" s="45">
        <v>44848</v>
      </c>
      <c r="KC2" s="45">
        <v>44849</v>
      </c>
      <c r="KD2" s="45">
        <v>44850</v>
      </c>
      <c r="KE2" s="45">
        <v>44851</v>
      </c>
      <c r="KF2" s="45">
        <v>44852</v>
      </c>
      <c r="KG2" s="45">
        <v>44853</v>
      </c>
      <c r="KH2" s="45">
        <v>44854</v>
      </c>
      <c r="KI2" s="45">
        <v>44855</v>
      </c>
      <c r="KJ2" s="45">
        <v>44856</v>
      </c>
      <c r="KK2" s="45">
        <v>44857</v>
      </c>
      <c r="KL2" s="45">
        <v>44858</v>
      </c>
      <c r="KM2" s="45">
        <v>44859</v>
      </c>
      <c r="KN2" s="45">
        <v>44860</v>
      </c>
      <c r="KO2" s="45">
        <v>44861</v>
      </c>
      <c r="KP2" s="45">
        <v>44862</v>
      </c>
      <c r="KQ2" s="45">
        <v>44863</v>
      </c>
      <c r="KR2" s="45">
        <v>44864</v>
      </c>
      <c r="KS2" s="45">
        <v>44865</v>
      </c>
      <c r="KT2" s="45">
        <v>44866</v>
      </c>
      <c r="KU2" s="45">
        <v>44867</v>
      </c>
      <c r="KV2" s="45">
        <v>44868</v>
      </c>
      <c r="KW2" s="45">
        <v>44869</v>
      </c>
      <c r="KX2" s="45">
        <v>44870</v>
      </c>
      <c r="KY2" s="45">
        <v>44871</v>
      </c>
      <c r="KZ2" s="45">
        <v>44872</v>
      </c>
      <c r="LA2" s="45">
        <v>44873</v>
      </c>
      <c r="LB2" s="45">
        <v>44874</v>
      </c>
      <c r="LC2" s="45">
        <v>44875</v>
      </c>
      <c r="LD2" s="45">
        <v>44876</v>
      </c>
      <c r="LE2" s="45">
        <v>44877</v>
      </c>
      <c r="LF2" s="45">
        <v>44878</v>
      </c>
      <c r="LG2" s="45">
        <v>44879</v>
      </c>
      <c r="LH2" s="45">
        <v>44880</v>
      </c>
      <c r="LI2" s="45">
        <v>44881</v>
      </c>
      <c r="LJ2" s="45">
        <v>44882</v>
      </c>
      <c r="LK2" s="45">
        <v>44883</v>
      </c>
      <c r="LL2" s="45">
        <v>44884</v>
      </c>
      <c r="LM2" s="45">
        <v>44885</v>
      </c>
      <c r="LN2" s="45">
        <v>44886</v>
      </c>
      <c r="LO2" s="45">
        <v>44887</v>
      </c>
      <c r="LP2" s="45">
        <v>44888</v>
      </c>
      <c r="LQ2" s="45">
        <v>44889</v>
      </c>
      <c r="LR2" s="45">
        <v>44890</v>
      </c>
      <c r="LS2" s="45">
        <v>44891</v>
      </c>
      <c r="LT2" s="45">
        <v>44892</v>
      </c>
      <c r="LU2" s="45">
        <v>44893</v>
      </c>
      <c r="LV2" s="45">
        <v>44894</v>
      </c>
      <c r="LW2" s="45">
        <v>44895</v>
      </c>
      <c r="LX2" s="45">
        <v>44896</v>
      </c>
      <c r="LY2" s="45">
        <v>44897</v>
      </c>
      <c r="LZ2" s="45">
        <v>44898</v>
      </c>
      <c r="MA2" s="45">
        <v>44899</v>
      </c>
      <c r="MB2" s="45">
        <v>44900</v>
      </c>
      <c r="MC2" s="45">
        <v>44901</v>
      </c>
      <c r="MD2" s="45">
        <v>44902</v>
      </c>
      <c r="ME2" s="45">
        <v>44903</v>
      </c>
      <c r="MF2" s="45">
        <v>44904</v>
      </c>
      <c r="MG2" s="45">
        <v>44905</v>
      </c>
      <c r="MH2" s="45">
        <v>44906</v>
      </c>
      <c r="MI2" s="45">
        <v>44907</v>
      </c>
      <c r="MJ2" s="45">
        <v>44908</v>
      </c>
      <c r="MK2" s="45">
        <v>44909</v>
      </c>
      <c r="ML2" s="45">
        <v>44910</v>
      </c>
      <c r="MM2" s="45">
        <v>44911</v>
      </c>
      <c r="MN2" s="45">
        <v>44912</v>
      </c>
      <c r="MO2" s="45">
        <v>44913</v>
      </c>
      <c r="MP2" s="45">
        <v>44914</v>
      </c>
      <c r="MQ2" s="45">
        <v>44915</v>
      </c>
      <c r="MR2" s="45">
        <v>44916</v>
      </c>
      <c r="MS2" s="45">
        <v>44917</v>
      </c>
      <c r="MT2" s="45">
        <v>44918</v>
      </c>
      <c r="MU2" s="45">
        <v>44919</v>
      </c>
      <c r="MV2" s="45">
        <v>44920</v>
      </c>
      <c r="MW2" s="45">
        <v>44921</v>
      </c>
      <c r="MX2" s="45">
        <v>44922</v>
      </c>
      <c r="MY2" s="45">
        <v>44923</v>
      </c>
      <c r="MZ2" s="45">
        <v>44924</v>
      </c>
      <c r="NA2" s="45">
        <v>44925</v>
      </c>
      <c r="NB2" s="45">
        <v>44926</v>
      </c>
    </row>
    <row r="3" spans="1:366" x14ac:dyDescent="0.25">
      <c r="A3" s="46" t="s">
        <v>400</v>
      </c>
      <c r="B3">
        <f>График!X5</f>
        <v>0</v>
      </c>
      <c r="C3">
        <f>График!Y5</f>
        <v>0</v>
      </c>
      <c r="D3">
        <f>График!Z5</f>
        <v>1</v>
      </c>
      <c r="E3">
        <f>График!AA5</f>
        <v>1</v>
      </c>
      <c r="F3">
        <f>График!AB5</f>
        <v>1</v>
      </c>
      <c r="G3">
        <f>График!AC5</f>
        <v>1</v>
      </c>
      <c r="H3">
        <f>График!AD5</f>
        <v>1</v>
      </c>
      <c r="I3">
        <f>График!AE5</f>
        <v>0</v>
      </c>
      <c r="J3">
        <f>График!AF5</f>
        <v>0</v>
      </c>
      <c r="K3">
        <f>График!AG5</f>
        <v>0</v>
      </c>
      <c r="L3">
        <f>График!AH5</f>
        <v>0</v>
      </c>
      <c r="M3">
        <f>График!AI5</f>
        <v>0</v>
      </c>
      <c r="N3">
        <f>График!AJ5</f>
        <v>0</v>
      </c>
      <c r="O3">
        <f>График!AK5</f>
        <v>0</v>
      </c>
      <c r="P3">
        <f>График!AL5</f>
        <v>0</v>
      </c>
      <c r="Q3">
        <f>График!AM5</f>
        <v>0</v>
      </c>
      <c r="R3">
        <f>График!AN5</f>
        <v>0</v>
      </c>
      <c r="S3">
        <f>График!AO5</f>
        <v>0</v>
      </c>
      <c r="T3">
        <f>График!AP5</f>
        <v>0</v>
      </c>
      <c r="U3">
        <f>График!AQ5</f>
        <v>0</v>
      </c>
      <c r="V3">
        <f>График!AR5</f>
        <v>0</v>
      </c>
      <c r="W3">
        <f>График!AS5</f>
        <v>0</v>
      </c>
      <c r="X3">
        <f>График!AT5</f>
        <v>0</v>
      </c>
      <c r="Y3">
        <f>График!AU5</f>
        <v>0</v>
      </c>
      <c r="Z3">
        <f>График!AV5</f>
        <v>0</v>
      </c>
      <c r="AA3">
        <f>График!AW5</f>
        <v>0</v>
      </c>
      <c r="AB3">
        <f>График!AX5</f>
        <v>0</v>
      </c>
      <c r="AC3">
        <f>График!AY5</f>
        <v>0</v>
      </c>
      <c r="AD3">
        <f>График!AZ5</f>
        <v>0</v>
      </c>
      <c r="AE3">
        <f>График!BA5</f>
        <v>0</v>
      </c>
      <c r="AF3">
        <f>График!BB5</f>
        <v>0</v>
      </c>
      <c r="AG3">
        <f>График!BC5</f>
        <v>0</v>
      </c>
      <c r="AH3">
        <f>График!BD5</f>
        <v>0</v>
      </c>
      <c r="AI3">
        <f>График!BE5</f>
        <v>0</v>
      </c>
      <c r="AJ3">
        <f>График!BF5</f>
        <v>0</v>
      </c>
      <c r="AK3">
        <f>График!BG5</f>
        <v>0</v>
      </c>
      <c r="AL3">
        <f>График!BH5</f>
        <v>0</v>
      </c>
      <c r="AM3">
        <f>График!BI5</f>
        <v>0</v>
      </c>
      <c r="AN3">
        <f>График!BJ5</f>
        <v>0</v>
      </c>
      <c r="AO3">
        <f>График!BK5</f>
        <v>0</v>
      </c>
      <c r="AP3">
        <f>График!BL5</f>
        <v>0</v>
      </c>
      <c r="AQ3">
        <f>График!BM5</f>
        <v>0</v>
      </c>
      <c r="AR3">
        <f>График!BN5</f>
        <v>0</v>
      </c>
      <c r="AS3">
        <f>График!BO5</f>
        <v>0</v>
      </c>
      <c r="AT3">
        <f>График!BP5</f>
        <v>0</v>
      </c>
      <c r="AU3">
        <f>График!BQ5</f>
        <v>0</v>
      </c>
      <c r="AV3">
        <f>График!BR5</f>
        <v>0</v>
      </c>
      <c r="AW3">
        <f>График!BS5</f>
        <v>0</v>
      </c>
      <c r="AX3">
        <f>График!BT5</f>
        <v>0</v>
      </c>
      <c r="AY3">
        <f>График!BU5</f>
        <v>0</v>
      </c>
      <c r="AZ3">
        <f>График!BV5</f>
        <v>0</v>
      </c>
      <c r="BA3">
        <f>График!BW5</f>
        <v>0</v>
      </c>
      <c r="BB3">
        <f>График!BX5</f>
        <v>0</v>
      </c>
      <c r="BC3">
        <f>График!BY5</f>
        <v>1</v>
      </c>
      <c r="BD3">
        <f>График!BZ5</f>
        <v>0</v>
      </c>
      <c r="BE3">
        <f>График!CA5</f>
        <v>0</v>
      </c>
      <c r="BF3">
        <f>График!CB5</f>
        <v>0</v>
      </c>
      <c r="BG3">
        <f>График!CC5</f>
        <v>0</v>
      </c>
      <c r="BH3">
        <f>График!CD5</f>
        <v>0</v>
      </c>
      <c r="BI3">
        <f>График!CE5</f>
        <v>0</v>
      </c>
      <c r="BJ3">
        <f>График!CF5</f>
        <v>0</v>
      </c>
      <c r="BK3">
        <f>График!CG5</f>
        <v>0</v>
      </c>
      <c r="BL3">
        <f>График!CH5</f>
        <v>0</v>
      </c>
      <c r="BM3">
        <f>График!CI5</f>
        <v>0</v>
      </c>
      <c r="BN3">
        <f>График!CJ5</f>
        <v>0</v>
      </c>
      <c r="BO3">
        <f>График!CK5</f>
        <v>1</v>
      </c>
      <c r="BP3">
        <f>График!CL5</f>
        <v>1</v>
      </c>
      <c r="BQ3">
        <f>График!CM5</f>
        <v>0</v>
      </c>
      <c r="BR3">
        <f>График!CN5</f>
        <v>0</v>
      </c>
      <c r="BS3">
        <f>График!CO5</f>
        <v>0</v>
      </c>
      <c r="BT3">
        <f>График!CP5</f>
        <v>0</v>
      </c>
      <c r="BU3">
        <f>График!CQ5</f>
        <v>0</v>
      </c>
      <c r="BV3">
        <f>График!CR5</f>
        <v>0</v>
      </c>
      <c r="BW3">
        <f>График!CS5</f>
        <v>0</v>
      </c>
      <c r="BX3">
        <f>График!CT5</f>
        <v>0</v>
      </c>
      <c r="BY3">
        <f>График!CU5</f>
        <v>0</v>
      </c>
      <c r="BZ3">
        <f>График!CV5</f>
        <v>0</v>
      </c>
      <c r="CA3">
        <f>График!CW5</f>
        <v>0</v>
      </c>
      <c r="CB3">
        <f>График!CX5</f>
        <v>0</v>
      </c>
      <c r="CC3">
        <f>График!CY5</f>
        <v>0</v>
      </c>
      <c r="CD3">
        <f>График!CZ5</f>
        <v>0</v>
      </c>
      <c r="CE3">
        <f>График!DA5</f>
        <v>0</v>
      </c>
      <c r="CF3">
        <f>График!DB5</f>
        <v>0</v>
      </c>
      <c r="CG3">
        <f>График!DC5</f>
        <v>0</v>
      </c>
      <c r="CH3">
        <f>График!DD5</f>
        <v>0</v>
      </c>
      <c r="CI3">
        <f>График!DE5</f>
        <v>0</v>
      </c>
      <c r="CJ3">
        <f>График!DF5</f>
        <v>0</v>
      </c>
      <c r="CK3">
        <f>График!DG5</f>
        <v>0</v>
      </c>
      <c r="CL3">
        <f>График!DH5</f>
        <v>0</v>
      </c>
      <c r="CM3">
        <f>График!DI5</f>
        <v>0</v>
      </c>
      <c r="CN3">
        <f>График!DJ5</f>
        <v>0</v>
      </c>
      <c r="CO3">
        <f>График!DK5</f>
        <v>0</v>
      </c>
      <c r="CP3">
        <f>График!DL5</f>
        <v>0</v>
      </c>
      <c r="CQ3">
        <f>График!DM5</f>
        <v>0</v>
      </c>
      <c r="CR3">
        <f>График!DN5</f>
        <v>0</v>
      </c>
      <c r="CS3">
        <f>График!DO5</f>
        <v>0</v>
      </c>
      <c r="CT3">
        <f>График!DP5</f>
        <v>0</v>
      </c>
      <c r="CU3">
        <f>График!DQ5</f>
        <v>0</v>
      </c>
      <c r="CV3">
        <f>График!DR5</f>
        <v>0</v>
      </c>
      <c r="CW3">
        <f>График!DS5</f>
        <v>0</v>
      </c>
      <c r="CX3">
        <f>График!DT5</f>
        <v>0</v>
      </c>
      <c r="CY3">
        <f>График!DU5</f>
        <v>0</v>
      </c>
      <c r="CZ3">
        <f>График!DV5</f>
        <v>0</v>
      </c>
      <c r="DA3">
        <f>График!DW5</f>
        <v>0</v>
      </c>
      <c r="DB3">
        <f>График!DX5</f>
        <v>0</v>
      </c>
      <c r="DC3">
        <f>График!DY5</f>
        <v>0</v>
      </c>
      <c r="DD3">
        <f>График!DZ5</f>
        <v>0</v>
      </c>
      <c r="DE3">
        <f>График!EA5</f>
        <v>0</v>
      </c>
      <c r="DF3">
        <f>График!EB5</f>
        <v>0</v>
      </c>
      <c r="DG3">
        <f>График!EC5</f>
        <v>0</v>
      </c>
      <c r="DH3">
        <f>График!ED5</f>
        <v>0</v>
      </c>
      <c r="DI3">
        <f>График!EE5</f>
        <v>0</v>
      </c>
      <c r="DJ3">
        <f>График!EF5</f>
        <v>0</v>
      </c>
      <c r="DK3">
        <f>График!EG5</f>
        <v>0</v>
      </c>
      <c r="DL3">
        <f>График!EH5</f>
        <v>0</v>
      </c>
      <c r="DM3">
        <f>График!EI5</f>
        <v>0</v>
      </c>
      <c r="DN3">
        <f>График!EJ5</f>
        <v>0</v>
      </c>
      <c r="DO3">
        <f>График!EK5</f>
        <v>0</v>
      </c>
      <c r="DP3">
        <f>График!EL5</f>
        <v>0</v>
      </c>
      <c r="DQ3">
        <f>График!EM5</f>
        <v>0</v>
      </c>
      <c r="DR3">
        <f>График!EN5</f>
        <v>0</v>
      </c>
      <c r="DS3">
        <f>График!EO5</f>
        <v>1</v>
      </c>
      <c r="DT3">
        <f>График!EP5</f>
        <v>1</v>
      </c>
      <c r="DU3">
        <f>График!EQ5</f>
        <v>0</v>
      </c>
      <c r="DV3">
        <f>График!ER5</f>
        <v>0</v>
      </c>
      <c r="DW3">
        <f>График!ES5</f>
        <v>0</v>
      </c>
      <c r="DX3">
        <f>График!ET5</f>
        <v>0</v>
      </c>
      <c r="DY3">
        <f>График!EU5</f>
        <v>0</v>
      </c>
      <c r="DZ3">
        <f>График!EV5</f>
        <v>1</v>
      </c>
      <c r="EA3">
        <f>График!EW5</f>
        <v>1</v>
      </c>
      <c r="EB3">
        <f>График!EX5</f>
        <v>0</v>
      </c>
      <c r="EC3">
        <f>График!EY5</f>
        <v>0</v>
      </c>
      <c r="ED3">
        <f>График!EZ5</f>
        <v>0</v>
      </c>
      <c r="EE3">
        <f>График!FA5</f>
        <v>0</v>
      </c>
      <c r="EF3">
        <f>График!FB5</f>
        <v>0</v>
      </c>
      <c r="EG3">
        <f>График!FC5</f>
        <v>0</v>
      </c>
      <c r="EH3">
        <f>График!FD5</f>
        <v>0</v>
      </c>
      <c r="EI3">
        <f>График!FE5</f>
        <v>0</v>
      </c>
      <c r="EJ3">
        <f>График!FF5</f>
        <v>0</v>
      </c>
      <c r="EK3">
        <f>График!FG5</f>
        <v>0</v>
      </c>
      <c r="EL3">
        <f>График!FH5</f>
        <v>0</v>
      </c>
      <c r="EM3">
        <f>График!FI5</f>
        <v>0</v>
      </c>
      <c r="EN3">
        <f>График!FJ5</f>
        <v>0</v>
      </c>
      <c r="EO3">
        <f>График!FK5</f>
        <v>0</v>
      </c>
      <c r="EP3">
        <f>График!FL5</f>
        <v>0</v>
      </c>
      <c r="EQ3">
        <f>График!FM5</f>
        <v>0</v>
      </c>
      <c r="ER3">
        <f>График!FN5</f>
        <v>0</v>
      </c>
      <c r="ES3">
        <f>График!FO5</f>
        <v>0</v>
      </c>
      <c r="ET3">
        <f>График!FP5</f>
        <v>0</v>
      </c>
      <c r="EU3">
        <f>График!FQ5</f>
        <v>0</v>
      </c>
      <c r="EV3">
        <f>График!FR5</f>
        <v>0</v>
      </c>
      <c r="EW3">
        <f>График!FS5</f>
        <v>0</v>
      </c>
      <c r="EX3">
        <f>График!FT5</f>
        <v>0</v>
      </c>
      <c r="EY3">
        <f>График!FU5</f>
        <v>0</v>
      </c>
      <c r="EZ3">
        <f>График!FV5</f>
        <v>0</v>
      </c>
      <c r="FA3">
        <f>График!FW5</f>
        <v>0</v>
      </c>
      <c r="FB3">
        <f>График!FX5</f>
        <v>0</v>
      </c>
      <c r="FC3">
        <f>График!FY5</f>
        <v>0</v>
      </c>
      <c r="FD3">
        <f>График!FZ5</f>
        <v>0</v>
      </c>
      <c r="FE3">
        <f>График!GA5</f>
        <v>0</v>
      </c>
      <c r="FF3">
        <f>График!GB5</f>
        <v>0</v>
      </c>
      <c r="FG3">
        <f>График!GC5</f>
        <v>0</v>
      </c>
      <c r="FH3">
        <f>График!GD5</f>
        <v>0</v>
      </c>
      <c r="FI3">
        <f>График!GE5</f>
        <v>1</v>
      </c>
      <c r="FJ3">
        <f>График!GF5</f>
        <v>0</v>
      </c>
      <c r="FK3">
        <f>График!GG5</f>
        <v>0</v>
      </c>
      <c r="FL3">
        <f>График!GH5</f>
        <v>0</v>
      </c>
      <c r="FM3">
        <f>График!GI5</f>
        <v>0</v>
      </c>
      <c r="FN3">
        <f>График!GJ5</f>
        <v>0</v>
      </c>
      <c r="FO3">
        <f>График!GK5</f>
        <v>0</v>
      </c>
      <c r="FP3">
        <f>График!GL5</f>
        <v>0</v>
      </c>
      <c r="FQ3">
        <f>График!GM5</f>
        <v>0</v>
      </c>
      <c r="FR3">
        <f>График!GN5</f>
        <v>0</v>
      </c>
      <c r="FS3">
        <f>График!GO5</f>
        <v>0</v>
      </c>
      <c r="FT3">
        <f>График!GP5</f>
        <v>0</v>
      </c>
      <c r="FU3">
        <f>График!GQ5</f>
        <v>0</v>
      </c>
      <c r="FV3">
        <f>График!GR5</f>
        <v>0</v>
      </c>
      <c r="FW3">
        <f>График!GS5</f>
        <v>0</v>
      </c>
      <c r="FX3">
        <f>График!GT5</f>
        <v>0</v>
      </c>
      <c r="FY3">
        <f>График!GU5</f>
        <v>0</v>
      </c>
      <c r="FZ3">
        <f>График!GV5</f>
        <v>0</v>
      </c>
      <c r="GA3">
        <f>График!GW5</f>
        <v>0</v>
      </c>
      <c r="GB3">
        <f>График!GX5</f>
        <v>0</v>
      </c>
      <c r="GC3">
        <f>График!GY5</f>
        <v>0</v>
      </c>
      <c r="GD3">
        <f>График!GZ5</f>
        <v>0</v>
      </c>
      <c r="GE3">
        <f>График!HA5</f>
        <v>0</v>
      </c>
      <c r="GF3">
        <f>График!HB5</f>
        <v>0</v>
      </c>
      <c r="GG3">
        <f>График!HC5</f>
        <v>0</v>
      </c>
      <c r="GH3">
        <f>График!HD5</f>
        <v>0</v>
      </c>
      <c r="GI3">
        <f>График!HE5</f>
        <v>0</v>
      </c>
      <c r="GJ3">
        <f>График!HF5</f>
        <v>0</v>
      </c>
      <c r="GK3">
        <f>График!HG5</f>
        <v>0</v>
      </c>
      <c r="GL3">
        <f>График!HH5</f>
        <v>0</v>
      </c>
      <c r="GM3">
        <f>График!HI5</f>
        <v>0</v>
      </c>
      <c r="GN3">
        <f>График!HJ5</f>
        <v>0</v>
      </c>
      <c r="GO3">
        <f>График!HK5</f>
        <v>0</v>
      </c>
      <c r="GP3">
        <f>График!HL5</f>
        <v>0</v>
      </c>
      <c r="GQ3">
        <f>График!HM5</f>
        <v>0</v>
      </c>
      <c r="GR3">
        <f>График!HN5</f>
        <v>0</v>
      </c>
      <c r="GS3">
        <f>График!HO5</f>
        <v>0</v>
      </c>
      <c r="GT3">
        <f>График!HP5</f>
        <v>0</v>
      </c>
      <c r="GU3">
        <f>График!HQ5</f>
        <v>0</v>
      </c>
      <c r="GV3">
        <f>График!HR5</f>
        <v>0</v>
      </c>
      <c r="GW3">
        <f>График!HS5</f>
        <v>0</v>
      </c>
      <c r="GX3">
        <f>График!HT5</f>
        <v>0</v>
      </c>
      <c r="GY3">
        <f>График!HU5</f>
        <v>0</v>
      </c>
      <c r="GZ3">
        <f>График!HV5</f>
        <v>0</v>
      </c>
      <c r="HA3">
        <f>График!HW5</f>
        <v>0</v>
      </c>
      <c r="HB3">
        <f>График!HX5</f>
        <v>0</v>
      </c>
      <c r="HC3">
        <f>График!HY5</f>
        <v>0</v>
      </c>
      <c r="HD3">
        <f>График!HZ5</f>
        <v>0</v>
      </c>
      <c r="HE3">
        <f>График!IA5</f>
        <v>0</v>
      </c>
      <c r="HF3">
        <f>График!IB5</f>
        <v>0</v>
      </c>
      <c r="HG3">
        <f>График!IC5</f>
        <v>0</v>
      </c>
      <c r="HH3">
        <f>График!ID5</f>
        <v>0</v>
      </c>
      <c r="HI3">
        <f>График!IE5</f>
        <v>0</v>
      </c>
      <c r="HJ3">
        <f>График!IF5</f>
        <v>0</v>
      </c>
      <c r="HK3">
        <f>График!IG5</f>
        <v>0</v>
      </c>
      <c r="HL3">
        <f>График!IH5</f>
        <v>0</v>
      </c>
      <c r="HM3">
        <f>График!II5</f>
        <v>0</v>
      </c>
      <c r="HN3">
        <f>График!IJ5</f>
        <v>0</v>
      </c>
      <c r="HO3">
        <f>График!IK5</f>
        <v>0</v>
      </c>
      <c r="HP3">
        <f>График!IL5</f>
        <v>0</v>
      </c>
      <c r="HQ3">
        <f>График!IM5</f>
        <v>0</v>
      </c>
      <c r="HR3">
        <f>График!IN5</f>
        <v>0</v>
      </c>
      <c r="HS3">
        <f>График!IO5</f>
        <v>0</v>
      </c>
      <c r="HT3">
        <f>График!IP5</f>
        <v>0</v>
      </c>
      <c r="HU3">
        <f>График!IQ5</f>
        <v>0</v>
      </c>
      <c r="HV3">
        <f>График!IR5</f>
        <v>0</v>
      </c>
      <c r="HW3">
        <f>График!IS5</f>
        <v>0</v>
      </c>
      <c r="HX3">
        <f>График!IT5</f>
        <v>0</v>
      </c>
      <c r="HY3">
        <f>График!IU5</f>
        <v>0</v>
      </c>
      <c r="HZ3">
        <f>График!IV5</f>
        <v>0</v>
      </c>
      <c r="IA3">
        <f>График!IW5</f>
        <v>0</v>
      </c>
      <c r="IB3">
        <f>График!IX5</f>
        <v>0</v>
      </c>
      <c r="IC3">
        <f>График!IY5</f>
        <v>0</v>
      </c>
      <c r="ID3">
        <f>График!IZ5</f>
        <v>0</v>
      </c>
      <c r="IE3">
        <f>График!JA5</f>
        <v>0</v>
      </c>
      <c r="IF3">
        <f>График!JB5</f>
        <v>0</v>
      </c>
      <c r="IG3">
        <f>График!JC5</f>
        <v>0</v>
      </c>
      <c r="IH3">
        <f>График!JD5</f>
        <v>0</v>
      </c>
      <c r="II3">
        <f>График!JE5</f>
        <v>0</v>
      </c>
      <c r="IJ3">
        <f>График!JF5</f>
        <v>0</v>
      </c>
      <c r="IK3">
        <f>График!JG5</f>
        <v>0</v>
      </c>
      <c r="IL3">
        <f>График!JH5</f>
        <v>0</v>
      </c>
      <c r="IM3">
        <f>График!JI5</f>
        <v>0</v>
      </c>
      <c r="IN3">
        <f>График!JJ5</f>
        <v>0</v>
      </c>
      <c r="IO3">
        <f>График!JK5</f>
        <v>0</v>
      </c>
      <c r="IP3">
        <f>График!JL5</f>
        <v>0</v>
      </c>
      <c r="IQ3">
        <f>График!JM5</f>
        <v>0</v>
      </c>
      <c r="IR3">
        <f>График!JN5</f>
        <v>0</v>
      </c>
      <c r="IS3">
        <f>График!JO5</f>
        <v>0</v>
      </c>
      <c r="IT3">
        <f>График!JP5</f>
        <v>0</v>
      </c>
      <c r="IU3">
        <f>График!JQ5</f>
        <v>0</v>
      </c>
      <c r="IV3">
        <f>График!JR5</f>
        <v>0</v>
      </c>
      <c r="IW3">
        <f>График!JS5</f>
        <v>0</v>
      </c>
      <c r="IX3">
        <f>График!JT5</f>
        <v>0</v>
      </c>
      <c r="IY3">
        <f>График!JU5</f>
        <v>0</v>
      </c>
      <c r="IZ3">
        <f>График!JV5</f>
        <v>0</v>
      </c>
      <c r="JA3">
        <f>График!JW5</f>
        <v>0</v>
      </c>
      <c r="JB3">
        <f>График!JX5</f>
        <v>0</v>
      </c>
      <c r="JC3">
        <f>График!JY5</f>
        <v>0</v>
      </c>
      <c r="JD3">
        <f>График!JZ5</f>
        <v>0</v>
      </c>
      <c r="JE3">
        <f>График!KA5</f>
        <v>0</v>
      </c>
      <c r="JF3">
        <f>График!KB5</f>
        <v>0</v>
      </c>
      <c r="JG3">
        <f>График!KC5</f>
        <v>0</v>
      </c>
      <c r="JH3">
        <f>График!KD5</f>
        <v>0</v>
      </c>
      <c r="JI3">
        <f>График!KE5</f>
        <v>0</v>
      </c>
      <c r="JJ3">
        <f>График!KF5</f>
        <v>0</v>
      </c>
      <c r="JK3">
        <f>График!KG5</f>
        <v>0</v>
      </c>
      <c r="JL3">
        <f>График!KH5</f>
        <v>0</v>
      </c>
      <c r="JM3">
        <f>График!KI5</f>
        <v>0</v>
      </c>
      <c r="JN3">
        <f>График!KJ5</f>
        <v>0</v>
      </c>
      <c r="JO3">
        <f>График!KK5</f>
        <v>0</v>
      </c>
      <c r="JP3">
        <f>График!KL5</f>
        <v>0</v>
      </c>
      <c r="JQ3">
        <f>График!KM5</f>
        <v>0</v>
      </c>
      <c r="JR3">
        <f>График!KN5</f>
        <v>0</v>
      </c>
      <c r="JS3">
        <f>График!KO5</f>
        <v>0</v>
      </c>
      <c r="JT3">
        <f>График!KP5</f>
        <v>0</v>
      </c>
      <c r="JU3">
        <f>График!KQ5</f>
        <v>0</v>
      </c>
      <c r="JV3">
        <f>График!KR5</f>
        <v>0</v>
      </c>
      <c r="JW3">
        <f>График!KS5</f>
        <v>0</v>
      </c>
      <c r="JX3">
        <f>График!KT5</f>
        <v>0</v>
      </c>
      <c r="JY3">
        <f>График!KU5</f>
        <v>0</v>
      </c>
      <c r="JZ3">
        <f>График!KV5</f>
        <v>0</v>
      </c>
      <c r="KA3">
        <f>График!KW5</f>
        <v>0</v>
      </c>
      <c r="KB3">
        <f>График!KX5</f>
        <v>0</v>
      </c>
      <c r="KC3">
        <f>График!KY5</f>
        <v>0</v>
      </c>
      <c r="KD3">
        <f>График!KZ5</f>
        <v>0</v>
      </c>
      <c r="KE3">
        <f>График!LA5</f>
        <v>0</v>
      </c>
      <c r="KF3">
        <f>График!LB5</f>
        <v>0</v>
      </c>
      <c r="KG3">
        <f>График!LC5</f>
        <v>0</v>
      </c>
      <c r="KH3">
        <f>График!LD5</f>
        <v>0</v>
      </c>
      <c r="KI3">
        <f>График!LE5</f>
        <v>0</v>
      </c>
      <c r="KJ3">
        <f>График!LF5</f>
        <v>0</v>
      </c>
      <c r="KK3">
        <f>График!LG5</f>
        <v>0</v>
      </c>
      <c r="KL3">
        <f>График!LH5</f>
        <v>0</v>
      </c>
      <c r="KM3">
        <f>График!LI5</f>
        <v>0</v>
      </c>
      <c r="KN3">
        <f>График!LJ5</f>
        <v>0</v>
      </c>
      <c r="KO3">
        <f>График!LK5</f>
        <v>0</v>
      </c>
      <c r="KP3">
        <f>График!LL5</f>
        <v>0</v>
      </c>
      <c r="KQ3">
        <f>График!LM5</f>
        <v>0</v>
      </c>
      <c r="KR3">
        <f>График!LN5</f>
        <v>0</v>
      </c>
      <c r="KS3">
        <f>График!LO5</f>
        <v>0</v>
      </c>
      <c r="KT3">
        <f>График!LP5</f>
        <v>0</v>
      </c>
      <c r="KU3">
        <f>График!LQ5</f>
        <v>0</v>
      </c>
      <c r="KV3">
        <f>График!LR5</f>
        <v>0</v>
      </c>
      <c r="KW3">
        <f>График!LS5</f>
        <v>1</v>
      </c>
      <c r="KX3">
        <f>График!LT5</f>
        <v>0</v>
      </c>
      <c r="KY3">
        <f>График!LU5</f>
        <v>0</v>
      </c>
      <c r="KZ3">
        <f>График!LV5</f>
        <v>0</v>
      </c>
      <c r="LA3">
        <f>График!LW5</f>
        <v>0</v>
      </c>
      <c r="LB3">
        <f>График!LX5</f>
        <v>0</v>
      </c>
      <c r="LC3">
        <f>График!LY5</f>
        <v>0</v>
      </c>
      <c r="LD3">
        <f>График!LZ5</f>
        <v>0</v>
      </c>
      <c r="LE3">
        <f>График!MA5</f>
        <v>0</v>
      </c>
      <c r="LF3">
        <f>График!MB5</f>
        <v>0</v>
      </c>
      <c r="LG3">
        <f>График!MC5</f>
        <v>0</v>
      </c>
      <c r="LH3">
        <f>График!MD5</f>
        <v>0</v>
      </c>
      <c r="LI3">
        <f>График!ME5</f>
        <v>0</v>
      </c>
      <c r="LJ3">
        <f>График!MF5</f>
        <v>0</v>
      </c>
      <c r="LK3">
        <f>График!MG5</f>
        <v>0</v>
      </c>
      <c r="LL3">
        <f>График!MH5</f>
        <v>0</v>
      </c>
      <c r="LM3">
        <f>График!MI5</f>
        <v>0</v>
      </c>
      <c r="LN3">
        <f>График!MJ5</f>
        <v>0</v>
      </c>
      <c r="LO3">
        <f>График!MK5</f>
        <v>0</v>
      </c>
      <c r="LP3">
        <f>График!ML5</f>
        <v>0</v>
      </c>
      <c r="LQ3">
        <f>График!MM5</f>
        <v>0</v>
      </c>
      <c r="LR3">
        <f>График!MN5</f>
        <v>0</v>
      </c>
      <c r="LS3">
        <f>График!MO5</f>
        <v>0</v>
      </c>
      <c r="LT3">
        <f>График!MP5</f>
        <v>0</v>
      </c>
      <c r="LU3">
        <f>График!MQ5</f>
        <v>0</v>
      </c>
      <c r="LV3">
        <f>График!MR5</f>
        <v>0</v>
      </c>
      <c r="LW3">
        <f>График!MS5</f>
        <v>0</v>
      </c>
      <c r="LX3">
        <f>График!MT5</f>
        <v>0</v>
      </c>
      <c r="LY3">
        <f>График!MU5</f>
        <v>0</v>
      </c>
      <c r="LZ3">
        <f>График!MV5</f>
        <v>0</v>
      </c>
      <c r="MA3">
        <f>График!MW5</f>
        <v>0</v>
      </c>
      <c r="MB3">
        <f>График!MX5</f>
        <v>0</v>
      </c>
      <c r="MC3">
        <f>График!MY5</f>
        <v>0</v>
      </c>
      <c r="MD3">
        <f>График!MZ5</f>
        <v>0</v>
      </c>
      <c r="ME3">
        <f>График!NA5</f>
        <v>0</v>
      </c>
      <c r="MF3">
        <f>График!NB5</f>
        <v>0</v>
      </c>
      <c r="MG3">
        <f>График!NC5</f>
        <v>0</v>
      </c>
      <c r="MH3">
        <f>График!ND5</f>
        <v>0</v>
      </c>
      <c r="MI3">
        <f>График!NE5</f>
        <v>0</v>
      </c>
      <c r="MJ3">
        <f>График!NF5</f>
        <v>0</v>
      </c>
      <c r="MK3">
        <f>График!NG5</f>
        <v>0</v>
      </c>
      <c r="ML3">
        <f>График!NH5</f>
        <v>0</v>
      </c>
      <c r="MM3">
        <f>График!NI5</f>
        <v>0</v>
      </c>
      <c r="MN3">
        <f>График!NJ5</f>
        <v>0</v>
      </c>
      <c r="MO3">
        <f>График!NK5</f>
        <v>0</v>
      </c>
      <c r="MP3">
        <f>График!NL5</f>
        <v>0</v>
      </c>
      <c r="MQ3">
        <f>График!NM5</f>
        <v>0</v>
      </c>
      <c r="MR3">
        <f>График!NN5</f>
        <v>0</v>
      </c>
      <c r="MS3">
        <f>График!NO5</f>
        <v>0</v>
      </c>
      <c r="MT3">
        <f>График!NP5</f>
        <v>0</v>
      </c>
      <c r="MU3">
        <f>График!NQ5</f>
        <v>0</v>
      </c>
      <c r="MV3">
        <f>График!NR5</f>
        <v>0</v>
      </c>
      <c r="MW3">
        <f>График!NS5</f>
        <v>0</v>
      </c>
      <c r="MX3">
        <f>График!NT5</f>
        <v>0</v>
      </c>
      <c r="MY3">
        <f>График!NU5</f>
        <v>0</v>
      </c>
      <c r="MZ3">
        <f>График!NV5</f>
        <v>0</v>
      </c>
      <c r="NA3">
        <f>График!NW5</f>
        <v>0</v>
      </c>
      <c r="NB3">
        <f>График!NX5</f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item1.xml>�� 
</file>

<file path=customXml/item2.xml>�� 8AE>4=0O_ ?>;=0O 8AE>4=0O_ ?>;=0O 40B0 !C<<0 /2:0  >1I0O 40B0  ( =45:A  <5AOF0 45=L  =545;8 40B0  ( 5AOF 40B0 !C<<0 /2:0  >1I0O 40B0  ( =45:A  <5AOF0 45=L  =545;8 40B0  ( 5AOF 
</file>

<file path=customXml/item3.xml>�� !B@>:8 !B@>:8 
</file>

<file path=customXml/item4.xml>�� 8AE>4=0O B45; B45; 
</file>

<file path=customXml/item5.xml>�� !B@>:8 !B@>:8 
</file>

<file path=customXml/item6.xml>�� 8AE>4=0O_ ?>;=0O 8AE>4=0O_ ?>;=0O 40B0 !C<<0 /2:0  >1I0O 40B0  ( =45:A  <5AOF0 45=L  =545;8 40B0  ( 5AOF 40B0 !C<<0 /2:0  >1I0O 40B0  ( =45:A  <5AOF0 45=L  =545;8 40B0  ( 5AOF 
</file>

<file path=customXml/item7.xml>�� 
</file>

<file path=customXml/item8.xml>�� 8AE>4=0O 8AE>4=0O B45; 2KE>4=K5 2KE>4=K5 0B0 2KE>4=>9 8AE>4=0O_ ?>;=0O 8AE>4=0O_ ?>;=0O 40B0 !C<<0 /2:0  >1I0O 45=L  =545;8 40B0  ( =45:A  <5AOF0 40B0  ( 5AOF 2KE>4=K5 C=8:0;L=K5 C=8:0;L=K5 B45; 8AE>4=0O_ ?>;=0O 8AE>4=0O_ ?>;=0O B45; 40B0 !C<<0 O2:0 40B0  ( =45:A  <5AOF0 40B0  ( 5AOF 45=L  =545;8 2KE>4=K5 8AE>4=0O_ 40BK 8AE>4=0O_ 40BK B45; $ >;6=>ABL 40B0  =0G :>=5F 40B0  =0G :>=5F 40B0  =0G :>=5F ?5@8>4 ?5@8>4 ?5@8>4 4=59 4=59 4=59 ?@><56CB>: ?@><56CB>: 
</file>

<file path=customXml/item9.xml>�� C=8:0;L=K5 B45; B45; 
</file>

<file path=customXml/item10.xml>�� 
</file>

<file path=customXml/item11.xml>�� 
</file>

<file path=customXml/item12.xml>�� 8AE>4=0O_ ?>;=0O 8AE>4=0O_ ?>;=0O 40B0 !C<<0 /2:0  >1I0O 45=L  =545;8 40B0  ( =45:A  <5AOF0 40B0  ( 5AOF 2KE>4=K5 40B0 !C<<0 /2:0  >1I0O 45=L  =545;8 40B0  ( =45:A  <5AOF0 40B0  ( 5AOF 2KE>4=K5 2KE>4=K5 2KE>4=K5 2KE>4=K5 
</file>

<file path=customXml/item13.xml>�� 
</file>

<file path=customXml/item14.xml>�� 8AE>4=0O C=8:0;L=K5 8AE>4=0O_ ?>;=0O 8AE>4=0O_ ?>;=0O 2KE>4=K5 8AE>4=0O_ 40BK 
</file>

<file path=customXml/item15.xml>�� 8AE>4=0O_ ?>;=0O 8AE>4=0O_ ?>;=0O 40B0 !C<<0 /2:0  >1I0O 40B0  ( =45:A  <5AOF0 45=L  =545;8 40B0  ( 5AOF 40B0 !C<<0 /2:0  >1I0O 40B0  ( =45:A  <5AOF0 45=L  =545;8 40B0  ( 5AOF 
</file>

<file path=customXml/item16.xml>�� 8AE>4=0O_ ?>;=0O B45; 40B0 !C<<0 40B0  ( =45:A  <5AOF0 40B0  ( 5AOF O2:0 45=L  =545;8 2KE>4=K5 B45; 40B0 !C<<0 40B0  ( =45:A  <5AOF0 O2:0 40B0  ( 5AOF 45=L  =545;8 2KE>4=K5 40B0 2KE>4=K5 40B0 2KE>4=K5 40B0 2KE>4=K5 
</file>

<file path=customXml/item17.xml>�� 8AE>4=0O_ 40BK 
</file>

<file path=customXml/item18.xml>�� 8AE>4=0O_ 40BK B45; $ >;6=>ABL 40B0  =0G 4=59 :>=5F 40B0  =0G 4=59 :>=5F 40B0  =0G :>=5F ?5@8>4 ?5@8>4 ?5@8>4 4=59 ?@><56CB>: ?@><56CB>: B45; $ >;6=>ABL 40B0  =0G 4=59 :>=5F 40B0  =0G 4=59 :>=5F 40B0  =0G :>=5F ?5@8>4 ?5@8>4 ?5@8>4 4=59 ?@><56CB>: ?@><56CB>: 
</file>

<file path=customXml/item19.xml>�� 8AE>4=0O_ ?>;=0O 8AE>4=0O_ ?>;=0O 40B0 !C<<0 /2:0  >1I0O 45=L  =545;8 40B0  ( =45:A  <5AOF0 40B0  ( 5AOF 40B0 !C<<0 /2:0  >1I0O 45=L  =545;8 40B0  ( =45:A  <5AOF0 40B0  ( 5AOF 
</file>

<file path=customXml/item20.xml>�� 2KE>4=K5 0B0 2KE>4=>9 0B0 2KE>4=>9 
</file>

<file path=customXml/item21.xml>�� 
</file>

<file path=customXml/item22.xml>�� 8AE>4=0O_ ?>;=0O 8AE>4=0O_ ?>;=0O 40B0 !C<<0 /2:0  >1I0O 45=L  =545;8 40B0  ( =45:A  <5AOF0 40B0  ( 5AOF 2KE>4=K5 40B0 !C<<0 /2:0  >1I0O 45=L  =545;8 40B0  ( =45:A  <5AOF0 40B0  ( 5AOF 2KE>4=K5 
</file>

<file path=customXml/item23.xml>�� 
</file>

<file path=customXml/item24.xml>�� 
</file>

<file path=customXml/item25.xml>�� 8AE>4=0O_ ?>;=0O 8AE>4=0O_ ?>;=0O 40B0 !C<<0 /2:0  >1I0O 45=L  =545;8 40B0  ( =45:A  <5AOF0 40B0  ( 5AOF 2KE>4=K5 40B0 !C<<0 /2:0  >1I0O 45=L  =545;8 40B0  ( =45:A  <5AOF0 40B0  ( 5AOF 2KE>4=K5 2KE>4=K5 2KE>4=K5 2KE>4=K5 
</file>

<file path=customXml/item26.xml>�� C=8:0;L=K5 C=8:0;L=K5 B45; B45; 8AE>4=0O C=8:0;L=K5 8AE>4=0O_ ?>;=0O 8AE>4=0O_ ?>;=0O 2KE>4=K5 8AE>4=0O 8AE>4=0O B45; 8AE>4=0O !B@>:8 C=8:0;L=K5 C=8:0;L=K5 B45; C=8:0;L=K5 8AE>4=0O_ ?>;=0O 8AE>4=0O_ ?>;=0O B45; 8AE>4=0O_ ?>;=0O 40B0 8AE>4=0O_ ?>;=0O !C<<0 8AE>4=0O_ ?>;=0O 8AE>4=0O_ ?>;=0O O2:0 8AE>4=0O_ ?>;=0O 40B0  ( =45:A  <5AOF0 8AE>4=0O_ ?>;=0O 40B0  ( 5AOF 8AE>4=0O_ ?>;=0O 45=L  =545;8 8AE>4=0O_ ?>;=0O !C<<0  ?>  AB>;1FC  O2:0 8AE>4=0O_ ?>;=0O\ !C<<0  ?>  AB>;1FC  O2:0 5O2=0O  <5@0 8AE>4=0O_ ?>;=0O !@54=55  ?>  AB>;1FC  O2:0 8AE>4=0O_ ?>;=0O\ !@54=55  ?>  AB>;1FC  O2:0 5O2=0O  <5@0 8AE>4=0O_ ?>;=0O !C<<0  ?>  AB>;1FC  !C<<0 8AE>4=0O_ ?>;=0O\ !C<<0  ?>  AB>;1FC  !C<<0 5O2=0O  <5@0 8AE>4=0O_ ?>;=0O !C<<0  ?>  AB>;1FC 8AE>4=0O_ ?>;=0O\ !C<<0  ?>  AB>;1FC 5O2=0O  <5@0 8AE>4=0O_ ?>;=0O 2KE>4=K5 8AE>4=0O_ ?>;=0O 8AE>4=0O_ ?>;=0O 40B0 8AE>4=0O_ ?>;=0O !C<<0 8AE>4=0O_ ?>;=0O /2:0  >1I0O 8AE>4=0O_ ?>;=0O 45=L  =545;8 8AE>4=0O_ ?>;=0O 40B0  ( =45:A  <5AOF0 8AE>4=0O_ ?>;=0O 40B0  ( 5AOF 8AE>4=0O_ ?>;=0O !C<<0  ?>  AB>;1FC  /2:0  >1I0O 8AE>4=0O_ ?>;=0O !C<<0  ?>  AB>;1FC  /2:0  >1I0O 5O2=0O  <5@0 8AE>4=0O_ ?>;=0O !@54=55  ?>  AB>;1FC  /2:0  >1I0O 8AE>4=0O_ ?>;=0O !@54=55  ?>  AB>;1FC  /2:0  >1I0O 5O2=0O  <5@0 8AE>4=0O_ ?>;=0O 2KE>4=K5 2KE>4=K5 2KE>4=K5 0B0 2KE>4=K5 2KE>4=>9 8AE>4=0O_ ?>;=0O B45; C=8:0;L=K5 B45; 8AE>4=0O_ ?>;=0O B45; C=8:0;L=K5 B45; 8AE>4=0O_ ?>;=0O B45; C=8:0;L=K5 B45; 8AE>4=0O_ ?>;=0O B45; C=8:0;L=K5 B45; 8AE>4=0O_ ?>;=0O 40B0 2KE>4=K5 0B0 8AE>4=0O_ ?>;=0O 40B0 2KE>4=K5 0B0 8AE>4=0O_ ?>;=0O 40B0 2KE>4=K5 0B0 8AE>4=0O_ ?>;=0O 40B0 2KE>4=K5 0B0 8AE>4=0O_ ?>;=0O 40B0 2KE>4=K5 0B0 8AE>4=0O_ ?>;=0O 40B0 2KE>4=K5 0B0 8AE>4=0O_ ?>;=0O 40B0 2KE>4=K5 0B0 8AE>4=0O_ ?>;=0O 40B0 2KE>4=K5 0B0 8AE>4=0O_ ?>;=0O 8AE>4=0O C=8:0;L=K5 8AE>4=0O_ ?>;=0O 8AE>4=0O_ ?>;=0O 2KE>4=K5 8AE>4=0O 8AE>4=0O B45; 8AE>4=0O !B@>:8 C=8:0;L=K5 C=8:0;L=K5 B45; C=8:0;L=K5 8AE>4=0O_ ?>;=0O 8AE>4=0O_ ?>;=0O B45; 8AE>4=0O_ ?>;=0O 40B0 8AE>4=0O_ ?>;=0O !C<<0 8AE>4=0O_ ?>;=0O 8AE>4=0O_ ?>;=0O O2:0 8AE>4=0O_ ?>;=0O 40B0  ( =45:A  <5AOF0 8AE>4=0O_ ?>;=0O 40B0  ( 5AOF 8AE>4=0O_ ?>;=0O 45=L  =545;8 8AE>4=0O_ ?>;=0O !C<<0  ?>  AB>;1FC  O2:0 8AE>4=0O_ ?>;=0O\ !C<<0  ?>  AB>;1FC  O2:0 5O2=0O  <5@0 8AE>4=0O_ ?>;=0O !@54=55  ?>  AB>;1FC  O2:0 8AE>4=0O_ ?>;=0O\ !@54=55  ?>  AB>;1FC  O2:0 5O2=0O  <5@0 8AE>4=0O_ ?>;=0O !C<<0  ?>  AB>;1FC  !C<<0 8AE>4=0O_ ?>;=0O\ !C<<0  ?>  AB>;1FC  !C<<0 5O2=0O  <5@0 8AE>4=0O_ ?>;=0O !C<<0  ?>  AB>;1FC 8AE>4=0O_ ?>;=0O\ !C<<0  ?>  AB>;1FC 5O2=0O  <5@0 8AE>4=0O_ ?>;=0O 2KE>4=K5 8AE>4=0O_ ?>;=0O 8AE>4=0O_ ?>;=0O 40B0 8AE>4=0O_ ?>;=0O !C<<0 8AE>4=0O_ ?>;=0O /2:0  >1I0O 8AE>4=0O_ ?>;=0O 45=L  =545;8 8AE>4=0O_ ?>;=0O 40B0  ( =45:A  <5AOF0 8AE>4=0O_ ?>;=0O 40B0  ( 5AOF 8AE>4=0O_ ?>;=0O !C<<0  ?>  AB>;1FC  /2:0  >1I0O 8AE>4=0O_ ?>;=0O !C<<0  ?>  AB>;1FC  /2:0  >1I0O 5O2=0O  <5@0 8AE>4=0O_ ?>;=0O !@54=55  ?>  AB>;1FC  /2:0  >1I0O 8AE>4=0O_ ?>;=0O !@54=55  ?>  AB>;1FC  /2:0  >1I0O 5O2=0O  <5@0 8AE>4=0O_ ?>;=0O 2KE>4=K5 2KE>4=K5 2KE>4=K5 0B0 2KE>4=K5 2KE>4=>9 8AE>4=0O_ ?>;=0O B45; C=8:0;L=K5 B45; >=5G=0O  B>G:0 >=5G=0O  B>G:0 8AE>4=0O_ ?>;=0O B45; C=8:0;L=K5 B45; 8AE>4=0O_ ?>;=0O B45; C=8:0;L=K5 B45; 8AE>4=0O_ ?>;=0O B45; C=8:0;L=K5 B45; 8AE>4=0O_ ?>;=0O 40B0 2KE>4=K5 0B0 >=5G=0O  B>G:0 >=5G=0O  B>G:0 8AE>4=0O_ ?>;=0O 40B0 2KE>4=K5 0B0 8AE>4=0O_ ?>;=0O 40B0 2KE>4=K5 0B0 8AE>4=0O_ ?>;=0O 40B0 2KE>4=K5 0B0 8AE>4=0O_ ?>;=0O 40B0 2KE>4=K5 0B0 >=5G=0O  B>G:0 >=5G=0O  B>G:0 8AE>4=0O_ ?>;=0O 40B0 2KE>4=K5 0B0 8AE>4=0O_ ?>;=0O 40B0 2KE>4=K5 0B0 8AE>4=0O_ ?>;=0O 40B0 2KE>4=K5 0B0 8AE>4=0O_ ?>;=0O 8AE>4=0O_ ?>;=0O !C<<0  ?>  AB>;1FC  /2:0  >1I0O !C<<0  ?>  AB>;1FC  /2:0  >1I0O $>@<C;0 !C<<0  ?>  AB>;1FC  /2:0  >1I0O =0G5=85 !@54=55  ?>  AB>;1FC  /2:0  >1I0O !@54=55  ?>  AB>;1FC  /2:0  >1I0O $>@<C;0 !@54=55  ?>  AB>;1FC  /2:0  >1I0O =0G5=85 40B0 !C<<0 /2:0  >1I0O 45=L  =545;8 40B0  ( =45:A  <5AOF0 40B0  ( 5AOF 2KE>4=K5 !C<<0  ?>  AB>;1FC  /2:0  >1I0O /2:0  >1I0O !C<<0  ?>  AB>;1FC  /2:0  >1I0O /2:0  >1I0O !C<<0  ?>  AB>;1FC  /2:0  >1I0O /2:0  >1I0O !@54=55  ?>  AB>;1FC  /2:0  >1I0O /2:0  >1I0O !@54=55  ?>  AB>;1FC  /2:0  >1I0O /2:0  >1I0O !@54=55  ?>  AB>;1FC  /2:0  >1I0O /2:0  >1I0O !C<<0  ?>  AB>;1FC  /2:0  >1I0O !C<<0  ?>  AB>;1FC  /2:0  >1I0O $>@<C;0 !C<<0  ?>  AB>;1FC  /2:0  >1I0O =0G5=85 !@54=55  ?>  AB>;1FC  /2:0  >1I0O !@54=55  ?>  AB>;1FC  /2:0  >1I0O $>@<C;0 !@54=55  ?>  AB>;1FC  /2:0  >1I0O =0G5=85 40B0 !C<<0 /2:0  >1I0O 45=L  =545;8 40B0  ( =45:A  <5AOF0 40B0  ( 5AOF 2KE>4=K5 !C<<0  ?>  AB>;1FC  /2:0  >1I0O /2:0  >1I0O !C<<0  ?>  AB>;1FC  /2:0  >1I0O /2:0  >1I0O !C<<0  ?>  AB>;1FC  /2:0  >1I0O /2:0  >1I0O !@54=55  ?>  AB>;1FC  /2:0  >1I0O /2:0  >1I0O !@54=55  ?>  AB>;1FC  /2:0  >1I0O /2:0  >1I0O !@54=55  ?>  AB>;1FC  /2:0  >1I0O /2:0  >1I0O 8AE>4=0O_ ?>;=0O 8AE>4=0O_ ?>;=0O !C<<0  ?>  AB>;1FC  O2:0 !C<<0  ?>  AB>;1FC  O2:0 $>@<C;0 !C<<0  ?>  AB>;1FC  O2:0 =0G5=85 !@54=55  ?>  AB>;1FC  O2:0 !@54=55  ?>  AB>;1FC  O2:0 $>@<C;0 !@54=55  ?>  AB>;1FC  O2:0 =0G5=85 !C<<0  ?>  AB>;1FC  !C<<0 !C<<0  ?>  AB>;1FC  !C<<0 $>@<C;0 !C<<0  ?>  AB>;1FC  !C<<0 =0G5=85 !C<<0  ?>  AB>;1FC !C<<0  ?>  AB>;1FC $>@<C;0 !C<<0  ?>  AB>;1FC =0G5=85 B45; 40B0 !C<<0 O2:0 40B0  ( =45:A  <5AOF0 40B0  ( 5AOF 45=L  =545;8 2KE>4=K5 !C<<0  ?>  AB>;1FC  O2:0 O2:0 !C<<0  ?>  AB>;1FC  O2:0 O2:0 !C<<0  ?>  AB>;1FC  O2:0 O2:0 !@54=55  ?>  AB>;1FC  O2:0 O2:0 !@54=55  ?>  AB>;1FC  O2:0 O2:0 !@54=55  ?>  AB>;1FC  O2:0 O2:0 !C<<0  ?>  AB>;1FC  !C<<0 !C<<0 !C<<0  ?>  AB>;1FC  !C<<0 !C<<0 !C<<0  ?>  AB>;1FC  !C<<0 !C<<0 !C<<0  ?>  AB>;1FC !C<<0  ?>  AB>;1FC !C<<0  ?>  AB>;1FC !C<<0  ?>  AB>;1FC  O2:0 !C<<0  ?>  AB>;1FC  O2:0 $>@<C;0 !C<<0  ?>  AB>;1FC  O2:0 =0G5=85 !@54=55  ?>  AB>;1FC  O2:0 !@54=55  ?>  AB>;1FC  O2:0 $>@<C;0 !@54=55  ?>  AB>;1FC  O2:0 =0G5=85 !C<<0  ?>  AB>;1FC  !C<<0 !C<<0  ?>  AB>;1FC  !C<<0 $>@<C;0 !C<<0  ?>  AB>;1FC  !C<<0 =0G5=85 !C<<0  ?>  AB>;1FC !C<<0  ?>  AB>;1FC $>@<C;0 !C<<0  ?>  AB>;1FC =0G5=85 B45; 40B0 !C<<0 O2:0 40B0  ( =45:A  <5AOF0 40B0  ( 5AOF 45=L  =545;8 2KE>4=K5 !C<<0  ?>  AB>;1FC  O2:0 O2:0 !C<<0  ?>  AB>;1FC  O2:0 O2:0 !C<<0  ?>  AB>;1FC  O2:0 O2:0 !@54=55  ?>  AB>;1FC  O2:0 O2:0 !@54=55  ?>  AB>;1FC  O2:0 O2:0 !@54=55  ?>  AB>;1FC  O2:0 O2:0 !C<<0  ?>  AB>;1FC  !C<<0 !C<<0 !C<<0  ?>  AB>;1FC  !C<<0 !C<<0 !C<<0  ?>  AB>;1FC  !C<<0 !C<<0 !C<<0  ?>  AB>;1FC !C<<0  ?>  AB>;1FC !C<<0  ?>  AB>;1FC 2KE>4=K5 2KE>4=K5 0B0 2KE>4=>9 0B0 2KE>4=>9 8AE>4=0O 8AE>4=0O !B@>:8 !B@>:8 $>@<C;0 !B@>:8 =0G5=85 B45; !B@>:8 !B@>:8 $>@<C;0 !B@>:8 =0G5=85 B45; 8AE>4=0O_ 40BK 8AE>4=0O_ 40BK '8A;>  M;5<5=B>2  2  AB>;1F5  40B0  =0G '8A;>  M;5<5=B>2  2  AB>;1F5  40B0  =0G $>@<C;0 '8A;>  M;5<5=B>2  2  AB>;1F5  40B0  =0G =0G5=85 !C<<0  ?>  AB>;1FC  40B0  =0G !C<<0  ?>  AB>;1FC  40B0  =0G $>@<C;0 !C<<0  ?>  AB>;1FC  40B0  =0G =0G5=85 !C<<0  ?>  AB>;1FC  4=59 !C<<0  ?>  AB>;1FC  4=59 $>@<C;0 !C<<0  ?>  AB>;1FC  4=59 =0G5=85 !C<<0  ?>  AB>;1FC  ?@><56CB>: !C<<0  ?>  AB>;1FC  ?@><56CB>: $>@<C;0 !C<<0  ?>  AB>;1FC  ?@><56CB>: =0G5=85 !C<<0  ?>  AB>;1FC  4=59 !C<<0  ?>  AB>;1FC  4=59 $>@<C;0 !C<<0  ?>  AB>;1FC  4=59 =0G5=85 !C<<0  ?>  AB>;1FC  ?@><56CB>: !C<<0  ?>  AB>;1FC  ?@><56CB>: $>@<C;0 !C<<0  ?>  AB>;1FC  ?@><56CB>: =0G5=85 !C<<0  ?>  AB>;1FC  4=59 !C<<0  ?>  AB>;1FC  4=59 $>@<C;0 !C<<0  ?>  AB>;1FC  4=59 =0G5=85 !C<<0  ?>  AB>;1FC  40B0  =0G !C<<0  ?>  AB>;1FC  40B0  =0G $>@<C;0 !C<<0  ?>  AB>;1FC  40B0  =0G =0G5=85 !C<<0  ?>  AB>;1FC  40B0  =0G !C<<0  ?>  AB>;1FC  40B0  =0G $>@<C;0 !C<<0  ?>  AB>;1FC  40B0  =0G =0G5=85 B45; $ >;6=>ABL 40B0  =0G :>=5F 40B0  =0G :>=5F 40B0  =0G :>=5F ?5@8>4 ?5@8>4 ?5@8>4 4=59 4=59 4=59 ?@><56CB>: ?@><56CB>: '8A;>  M;5<5=B>2  2  AB>;1F5  $ '8A;>  M;5<5=B>2  2  AB>;1F5  $ $>@<C;0 '8A;>  M;5<5=B>2  2  AB>;1F5  $ =0G5=85 '8A;>  M;5<5=B>2  2  AB>;1F5  40B0  =0G 40B0  =0G '8A;>  M;5<5=B>2  2  AB>;1F5  40B0  =0G 40B0  =0G '8A;>  M;5<5=B>2  2  AB>;1F5  40B0  =0G 40B0  =0G !C<<0  ?>  AB>;1FC  40B0  =0G 40B0  =0G !C<<0  ?>  AB>;1FC  40B0  =0G 40B0  =0G !C<<0  ?>  AB>;1FC  40B0  =0G 40B0  =0G !C<<0  ?>  AB>;1FC  4=59 4=59 !C<<0  ?>  AB>;1FC  4=59 4=59 !C<<0  ?>  AB>;1FC  4=59 4=59 !C<<0  ?>  AB>;1FC  ?@><56CB>: ?@><56CB>: !C<<0  ?>  AB>;1FC  ?@><56CB>: ?@><56CB>: !C<<0  ?>  AB>;1FC  ?@><56CB>: ?@><56CB>: !C<<0  ?>  AB>;1FC  4=59 4=59 !C<<0  ?>  AB>;1FC  4=59 4=59 !C<<0  ?>  AB>;1FC  4=59 4=59 !C<<0  ?>  AB>;1FC  ?@><56CB>: ?@><56CB>: !C<<0  ?>  AB>;1FC  ?@><56CB>: ?@><56CB>: !C<<0  ?>  AB>;1FC  ?@><56CB>: ?@><56CB>: !C<<0  ?>  AB>;1FC  4=59 4=59 !C<<0  ?>  AB>;1FC  4=59 4=59 !C<<0  ?>  AB>;1FC  4=59 4=59 !C<<0  ?>  AB>;1FC  40B0  =0G 40B0  =0G !C<<0  ?>  AB>;1FC  40B0  =0G 40B0  =0G !C<<0  ?>  AB>;1FC  40B0  =0G 40B0  =0G !C<<0  ?>  AB>;1FC  40B0  =0G 40B0  =0G !C<<0  ?>  AB>;1FC  40B0  =0G 40B0  =0G !C<<0  ?>  AB>;1FC  40B0  =0G 40B0  =0G '8A;>  M;5<5=B>2  2  AB>;1F5  $ $ '8A;>  M;5<5=B>2  2  AB>;1F5  $ $ '8A;>  M;5<5=B>2  2  AB>;1F5  $ $ '8A;>  M;5<5=B>2  2  AB>;1F5  40B0  =0G '8A;>  M;5<5=B>2  2  AB>;1F5  40B0  =0G $>@<C;0 '8A;>  M;5<5=B>2  2  AB>;1F5  40B0  =0G =0G5=85 !C<<0  ?>  AB>;1FC  40B0  =0G !C<<0  ?>  AB>;1FC  40B0  =0G $>@<C;0 !C<<0  ?>  AB>;1FC  40B0  =0G =0G5=85 !C<<0  ?>  AB>;1FC  4=59 !C<<0  ?>  AB>;1FC  4=59 $>@<C;0 !C<<0  ?>  AB>;1FC  4=59 =0G5=85 !C<<0  ?>  AB>;1FC  ?@><56CB>: !C<<0  ?>  AB>;1FC  ?@><56CB>: $>@<C;0 !C<<0  ?>  AB>;1FC  ?@><56CB>: =0G5=85 !C<<0  ?>  AB>;1FC  4=59 !C<<0  ?>  AB>;1FC  4=59 $>@<C;0 !C<<0  ?>  AB>;1FC  4=59 =0G5=85 !C<<0  ?>  AB>;1FC  ?@><56CB>: !C<<0  ?>  AB>;1FC  ?@><56CB>: $>@<C;0 !C<<0  ?>  AB>;1FC  ?@><56CB>: =0G5=85 !C<<0  ?>  AB>;1FC  4=59 !C<<0  ?>  AB>;1FC  4=59 $>@<C;0 !C<<0  ?>  AB>;1FC  4=59 =0G5=85 !C<<0  ?>  AB>;1FC  40B0  =0G !C<<0  ?>  AB>;1FC  40B0  =0G $>@<C;0 !C<<0  ?>  AB>;1FC  40B0  =0G =0G5=85 !C<<0  ?>  AB>;1FC  40B0  =0G !C<<0  ?>  AB>;1FC  40B0  =0G $>@<C;0 !C<<0  ?>  AB>;1FC  40B0  =0G =0G5=85 B45; $ >;6=>ABL 40B0  =0G :>=5F 40B0  =0G :>=5F 40B0  =0G :>=5F ?5@8>4 ?5@8>4 ?5@8>4 4=59 4=59 4=59 ?@><56CB>: ?@><56CB>: '8A;>  M;5<5=B>2  2  AB>;1F5  $ '8A;>  M;5<5=B>2  2  AB>;1F5  $ $>@<C;0 '8A;>  M;5<5=B>2  2  AB>;1F5  $ =0G5=85 '8A;>  M;5<5=B>2  2  AB>;1F5  40B0  =0G 40B0  =0G '8A;>  M;5<5=B>2  2  AB>;1F5  40B0  =0G 40B0  =0G '8A;>  M;5<5=B>2  2  AB>;1F5  40B0  =0G 40B0  =0G !C<<0  ?>  AB>;1FC  40B0  =0G 40B0  =0G !C<<0  ?>  AB>;1FC  40B0  =0G 40B0  =0G !C<<0  ?>  AB>;1FC  40B0  =0G 40B0  =0G !C<<0  ?>  AB>;1FC  4=59 4=59 !C<<0  ?>  AB>;1FC  4=59 4=59 !C<<0  ?>  AB>;1FC  4=59 4=59 !C<<0  ?>  AB>;1FC  ?@><56CB>: ?@><56CB>: !C<<0  ?>  AB>;1FC  ?@><56CB>: ?@><56CB>: !C<<0  ?>  AB>;1FC  ?@><56CB>: ?@><56CB>: !C<<0  ?>  AB>;1FC  4=59 4=59 !C<<0  ?>  AB>;1FC  4=59 4=59 !C<<0  ?>  AB>;1FC  4=59 4=59 !C<<0  ?>  AB>;1FC  ?@><56CB>: ?@><56CB>: !C<<0  ?>  AB>;1FC  ?@><56CB>: ?@><56CB>: !C<<0  ?>  AB>;1FC  ?@><56CB>: ?@><56CB>: !C<<0  ?>  AB>;1FC  4=59 4=59 !C<<0  ?>  AB>;1FC  4=59 4=59 !C<<0  ?>  AB>;1FC  4=59 4=59 !C<<0  ?>  AB>;1FC  40B0  =0G 40B0  =0G !C<<0  ?>  AB>;1FC  40B0  =0G 40B0  =0G !C<<0  ?>  AB>;1FC  40B0  =0G 40B0  =0G !C<<0  ?>  AB>;1FC  40B0  =0G 40B0  =0G !C<<0  ?>  AB>;1FC  40B0  =0G 40B0  =0G !C<<0  ?>  AB>;1FC  40B0  =0G 40B0  =0G '8A;>  M;5<5=B>2  2  AB>;1F5  $ $ '8A;>  M;5<5=B>2  2  AB>;1F5  $ $ '8A;>  M;5<5=B>2  2  AB>;1F5  $ $ 
</file>

<file path=customXml/item27.xml>�� 8AE>4=0O C=8:0;L=K5 8AE>4=0O_ ?>;=0O 8AE>4=0O_ ?>;=0O 2KE>4=K5 8AE>4=0O_ 40BK 
</file>

<file path=customXml/item28.xml>�� 
</file>

<file path=customXml/item29.xml>�� 8AE>4=0O_ ?>;=0O 8AE>4=0O_ ?>;=0O 40B0 !C<<0 40B0 !C<<0 
</file>

<file path=customXml/item30.xml>�� 8AE>4=0O_ ?>;=0O 8AE>4=0O_ ?>;=0O 40B0 !C<<0 /2:0  >1I0O 45=L  =545;8 40B0  ( =45:A  <5AOF0 40B0  ( 5AOF 40B0 !C<<0 /2:0  >1I0O 45=L  =545;8 40B0  ( =45:A  <5AOF0 40B0  ( 5AOF 
</file>

<file path=customXml/item31.xml>�� 8AE>4=0O_ ?>;=0O 8AE>4=0O_ ?>;=0O 40B0 !C<<0 /2:0  >1I0O 40B0 !C<<0 /2:0  >1I0O 40B0 40B0 40B0 
</file>

<file path=customXml/item32.xml>�� !B@>:8 !B@>:8 
</file>

<file path=customXml/item33.xml>�� 
</file>

<file path=customXml/item34.xml>�� 
</file>

<file path=customXml/item35.xml>�� 
</file>

<file path=customXml/itemProps1.xml><?xml version="1.0" encoding="utf-8"?>
<ds:datastoreItem xmlns:ds="http://schemas.openxmlformats.org/officeDocument/2006/customXml" ds:itemID="{76C03732-44E8-48F7-A27E-5328869487F1}">
  <ds:schemaRefs/>
</ds:datastoreItem>
</file>

<file path=customXml/itemProps2.xml><?xml version="1.0" encoding="utf-8"?>
<ds:datastoreItem xmlns:ds="http://schemas.openxmlformats.org/officeDocument/2006/customXml" ds:itemID="{8EEAE1BD-BDEA-43BE-AFBE-FFC035E70CCE}">
  <ds:schemaRefs/>
</ds:datastoreItem>
</file>

<file path=customXml/itemProps3.xml><?xml version="1.0" encoding="utf-8"?>
<ds:datastoreItem xmlns:ds="http://schemas.openxmlformats.org/officeDocument/2006/customXml" ds:itemID="{DEA08624-CCA0-4C2B-B20F-6B9DACA9DFE0}">
  <ds:schemaRefs/>
</ds:datastoreItem>
</file>

<file path=customXml/itemProps4.xml><?xml version="1.0" encoding="utf-8"?>
<ds:datastoreItem xmlns:ds="http://schemas.openxmlformats.org/officeDocument/2006/customXml" ds:itemID="{7374BA3C-8E48-44F3-9083-295D9EDD29E2}">
  <ds:schemaRefs/>
</ds:datastoreItem>
</file>

<file path=customXml/itemProps5.xml><?xml version="1.0" encoding="utf-8"?>
<ds:datastoreItem xmlns:ds="http://schemas.openxmlformats.org/officeDocument/2006/customXml" ds:itemID="{30E07365-9C3D-4E95-9E00-7D42085B82A2}">
  <ds:schemaRefs/>
</ds:datastoreItem>
</file>

<file path=customXml/itemProps6.xml><?xml version="1.0" encoding="utf-8"?>
<ds:datastoreItem xmlns:ds="http://schemas.openxmlformats.org/officeDocument/2006/customXml" ds:itemID="{D895CFF9-D422-4D8F-B13B-1CDD4671BA72}">
  <ds:schemaRefs/>
</ds:datastoreItem>
</file>

<file path=customXml/itemProps7.xml><?xml version="1.0" encoding="utf-8"?>
<ds:datastoreItem xmlns:ds="http://schemas.openxmlformats.org/officeDocument/2006/customXml" ds:itemID="{EE24A5FA-0C69-41CE-AE7F-E1CE1E14C9DE}">
  <ds:schemaRefs/>
</ds:datastoreItem>
</file>

<file path=customXml/itemProps8.xml><?xml version="1.0" encoding="utf-8"?>
<ds:datastoreItem xmlns:ds="http://schemas.openxmlformats.org/officeDocument/2006/customXml" ds:itemID="{84F98F0E-7656-4344-8844-9B41631EDA83}">
  <ds:schemaRefs/>
</ds:datastoreItem>
</file>

<file path=customXml/itemProps9.xml><?xml version="1.0" encoding="utf-8"?>
<ds:datastoreItem xmlns:ds="http://schemas.openxmlformats.org/officeDocument/2006/customXml" ds:itemID="{5FD44107-7D2A-4357-9E7C-88E10604D483}">
  <ds:schemaRefs/>
</ds:datastoreItem>
</file>

<file path=customXml/itemProps10.xml><?xml version="1.0" encoding="utf-8"?>
<ds:datastoreItem xmlns:ds="http://schemas.openxmlformats.org/officeDocument/2006/customXml" ds:itemID="{DF17C2E6-73B8-43C9-9D1F-234129687E86}">
  <ds:schemaRefs/>
</ds:datastoreItem>
</file>

<file path=customXml/itemProps11.xml><?xml version="1.0" encoding="utf-8"?>
<ds:datastoreItem xmlns:ds="http://schemas.openxmlformats.org/officeDocument/2006/customXml" ds:itemID="{869640A5-DC28-45E7-B7B3-2C90298E27C9}">
  <ds:schemaRefs/>
</ds:datastoreItem>
</file>

<file path=customXml/itemProps12.xml><?xml version="1.0" encoding="utf-8"?>
<ds:datastoreItem xmlns:ds="http://schemas.openxmlformats.org/officeDocument/2006/customXml" ds:itemID="{19CD5934-E160-4503-B919-971CC54A4C39}">
  <ds:schemaRefs/>
</ds:datastoreItem>
</file>

<file path=customXml/itemProps13.xml><?xml version="1.0" encoding="utf-8"?>
<ds:datastoreItem xmlns:ds="http://schemas.openxmlformats.org/officeDocument/2006/customXml" ds:itemID="{9DA1BC51-0DCF-4929-939A-FE07854F42F0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3D2C77AE-82FD-4642-8075-42A3FECD1A68}">
  <ds:schemaRefs/>
</ds:datastoreItem>
</file>

<file path=customXml/itemProps15.xml><?xml version="1.0" encoding="utf-8"?>
<ds:datastoreItem xmlns:ds="http://schemas.openxmlformats.org/officeDocument/2006/customXml" ds:itemID="{BCC5A1D3-DEFD-4FE4-911D-64145188B00C}">
  <ds:schemaRefs/>
</ds:datastoreItem>
</file>

<file path=customXml/itemProps16.xml><?xml version="1.0" encoding="utf-8"?>
<ds:datastoreItem xmlns:ds="http://schemas.openxmlformats.org/officeDocument/2006/customXml" ds:itemID="{58BB3A58-DAD4-4722-A7D0-B61CE6A1B939}">
  <ds:schemaRefs/>
</ds:datastoreItem>
</file>

<file path=customXml/itemProps17.xml><?xml version="1.0" encoding="utf-8"?>
<ds:datastoreItem xmlns:ds="http://schemas.openxmlformats.org/officeDocument/2006/customXml" ds:itemID="{96BBE23B-7704-45F9-9231-2C1D629FDA9E}">
  <ds:schemaRefs/>
</ds:datastoreItem>
</file>

<file path=customXml/itemProps18.xml><?xml version="1.0" encoding="utf-8"?>
<ds:datastoreItem xmlns:ds="http://schemas.openxmlformats.org/officeDocument/2006/customXml" ds:itemID="{DAA002C4-57BD-40B3-9F18-00D417CAD296}">
  <ds:schemaRefs/>
</ds:datastoreItem>
</file>

<file path=customXml/itemProps19.xml><?xml version="1.0" encoding="utf-8"?>
<ds:datastoreItem xmlns:ds="http://schemas.openxmlformats.org/officeDocument/2006/customXml" ds:itemID="{83B7756E-3758-48C6-898C-92355E2B5D87}">
  <ds:schemaRefs/>
</ds:datastoreItem>
</file>

<file path=customXml/itemProps20.xml><?xml version="1.0" encoding="utf-8"?>
<ds:datastoreItem xmlns:ds="http://schemas.openxmlformats.org/officeDocument/2006/customXml" ds:itemID="{7FD837AC-D9D9-4E3F-90A3-7313A64FCE73}">
  <ds:schemaRefs/>
</ds:datastoreItem>
</file>

<file path=customXml/itemProps21.xml><?xml version="1.0" encoding="utf-8"?>
<ds:datastoreItem xmlns:ds="http://schemas.openxmlformats.org/officeDocument/2006/customXml" ds:itemID="{49310DDE-9D8A-4993-8CBA-1D4CCF584931}">
  <ds:schemaRefs/>
</ds:datastoreItem>
</file>

<file path=customXml/itemProps22.xml><?xml version="1.0" encoding="utf-8"?>
<ds:datastoreItem xmlns:ds="http://schemas.openxmlformats.org/officeDocument/2006/customXml" ds:itemID="{0CFA6119-C8A3-468A-82F9-4D1F509E2DB8}">
  <ds:schemaRefs/>
</ds:datastoreItem>
</file>

<file path=customXml/itemProps23.xml><?xml version="1.0" encoding="utf-8"?>
<ds:datastoreItem xmlns:ds="http://schemas.openxmlformats.org/officeDocument/2006/customXml" ds:itemID="{F1986615-89F4-48DE-A7DB-70CA2D6352D9}">
  <ds:schemaRefs/>
</ds:datastoreItem>
</file>

<file path=customXml/itemProps24.xml><?xml version="1.0" encoding="utf-8"?>
<ds:datastoreItem xmlns:ds="http://schemas.openxmlformats.org/officeDocument/2006/customXml" ds:itemID="{71EF5680-45D0-49DF-8F41-2112C6DA608A}">
  <ds:schemaRefs/>
</ds:datastoreItem>
</file>

<file path=customXml/itemProps25.xml><?xml version="1.0" encoding="utf-8"?>
<ds:datastoreItem xmlns:ds="http://schemas.openxmlformats.org/officeDocument/2006/customXml" ds:itemID="{1ADB86CA-2C54-4720-8B8B-A35C4B174CAC}">
  <ds:schemaRefs/>
</ds:datastoreItem>
</file>

<file path=customXml/itemProps26.xml><?xml version="1.0" encoding="utf-8"?>
<ds:datastoreItem xmlns:ds="http://schemas.openxmlformats.org/officeDocument/2006/customXml" ds:itemID="{2DAE17A6-53E2-4823-BA3E-B0FC632E80BD}">
  <ds:schemaRefs/>
</ds:datastoreItem>
</file>

<file path=customXml/itemProps27.xml><?xml version="1.0" encoding="utf-8"?>
<ds:datastoreItem xmlns:ds="http://schemas.openxmlformats.org/officeDocument/2006/customXml" ds:itemID="{29E74811-71EB-4E93-846A-B878ABDE0C0F}">
  <ds:schemaRefs/>
</ds:datastoreItem>
</file>

<file path=customXml/itemProps28.xml><?xml version="1.0" encoding="utf-8"?>
<ds:datastoreItem xmlns:ds="http://schemas.openxmlformats.org/officeDocument/2006/customXml" ds:itemID="{4C8D9933-ADB5-4384-B9F2-64B0087030A4}">
  <ds:schemaRefs/>
</ds:datastoreItem>
</file>

<file path=customXml/itemProps29.xml><?xml version="1.0" encoding="utf-8"?>
<ds:datastoreItem xmlns:ds="http://schemas.openxmlformats.org/officeDocument/2006/customXml" ds:itemID="{37FD34BB-6206-4D3F-97D0-104EDACF4591}">
  <ds:schemaRefs/>
</ds:datastoreItem>
</file>

<file path=customXml/itemProps30.xml><?xml version="1.0" encoding="utf-8"?>
<ds:datastoreItem xmlns:ds="http://schemas.openxmlformats.org/officeDocument/2006/customXml" ds:itemID="{33F60A07-63BF-4F96-B434-65775399F015}">
  <ds:schemaRefs/>
</ds:datastoreItem>
</file>

<file path=customXml/itemProps31.xml><?xml version="1.0" encoding="utf-8"?>
<ds:datastoreItem xmlns:ds="http://schemas.openxmlformats.org/officeDocument/2006/customXml" ds:itemID="{35AB3597-D0DD-4834-B941-C0B0B0A3384D}">
  <ds:schemaRefs/>
</ds:datastoreItem>
</file>

<file path=customXml/itemProps32.xml><?xml version="1.0" encoding="utf-8"?>
<ds:datastoreItem xmlns:ds="http://schemas.openxmlformats.org/officeDocument/2006/customXml" ds:itemID="{5F63D4E7-1C58-44C4-9642-3E31C3793F52}">
  <ds:schemaRefs/>
</ds:datastoreItem>
</file>

<file path=customXml/itemProps33.xml><?xml version="1.0" encoding="utf-8"?>
<ds:datastoreItem xmlns:ds="http://schemas.openxmlformats.org/officeDocument/2006/customXml" ds:itemID="{7EC9FDD4-19B8-4FC0-A01A-90DB72B6A5B9}">
  <ds:schemaRefs/>
</ds:datastoreItem>
</file>

<file path=customXml/itemProps34.xml><?xml version="1.0" encoding="utf-8"?>
<ds:datastoreItem xmlns:ds="http://schemas.openxmlformats.org/officeDocument/2006/customXml" ds:itemID="{8AF7E702-C321-4F53-B507-1D304791CC91}">
  <ds:schemaRefs/>
</ds:datastoreItem>
</file>

<file path=customXml/itemProps35.xml><?xml version="1.0" encoding="utf-8"?>
<ds:datastoreItem xmlns:ds="http://schemas.openxmlformats.org/officeDocument/2006/customXml" ds:itemID="{91EFABDF-4996-4A00-A5DC-B0EE2FB41F0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График</vt:lpstr>
      <vt:lpstr>Диаграммы</vt:lpstr>
      <vt:lpstr>График_сжато</vt:lpstr>
      <vt:lpstr>Справочник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Kholin Aleksey</dc:creator>
  <dcterms:created xsi:type="dcterms:W3CDTF">2021-08-20T03:42:35Z</dcterms:created>
  <dcterms:modified xsi:type="dcterms:W3CDTF">2023-02-10T16:52:34Z</dcterms:modified>
</cp:coreProperties>
</file>